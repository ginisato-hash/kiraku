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01ba68e93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ダッシュボード" sheetId="1" r:id="R09d0fedd96e44393"/>
    <x:sheet xmlns:r="http://schemas.openxmlformats.org/officeDocument/2006/relationships" name="01_入力ページ" sheetId="2" r:id="R1618722ee5594f69"/>
    <x:sheet xmlns:r="http://schemas.openxmlformats.org/officeDocument/2006/relationships" name="02_銀行API取込" sheetId="3" r:id="R0e966ad9794e404e"/>
    <x:sheet xmlns:r="http://schemas.openxmlformats.org/officeDocument/2006/relationships" name="03_OTA取込" sheetId="4" r:id="R8837314b0bce4380"/>
    <x:sheet xmlns:r="http://schemas.openxmlformats.org/officeDocument/2006/relationships" name="04_仕訳帳" sheetId="5" r:id="R4d5cb3e715d24137"/>
    <x:sheet xmlns:r="http://schemas.openxmlformats.org/officeDocument/2006/relationships" name="05_試算表" sheetId="6" r:id="Rf75b69cef9644dfe"/>
    <x:sheet xmlns:r="http://schemas.openxmlformats.org/officeDocument/2006/relationships" name="06_PL" sheetId="7" r:id="R447c88d708df4192"/>
    <x:sheet xmlns:r="http://schemas.openxmlformats.org/officeDocument/2006/relationships" name="07_BS" sheetId="8" r:id="R8110184c81424d86"/>
    <x:sheet xmlns:r="http://schemas.openxmlformats.org/officeDocument/2006/relationships" name="08_CF" sheetId="9" r:id="Ra07957e755014f34"/>
    <x:sheet xmlns:r="http://schemas.openxmlformats.org/officeDocument/2006/relationships" name="09_借入返済" sheetId="10" r:id="R41af4452974f488d"/>
    <x:sheet xmlns:r="http://schemas.openxmlformats.org/officeDocument/2006/relationships" name="10_KPI" sheetId="11" r:id="R0932cf41b07c4027"/>
    <x:sheet xmlns:r="http://schemas.openxmlformats.org/officeDocument/2006/relationships" name="11_モデル連携" sheetId="12" r:id="R36abb9da81a8436e"/>
    <x:sheet xmlns:r="http://schemas.openxmlformats.org/officeDocument/2006/relationships" name="12_勘定科目マスタ" sheetId="13" r:id="R5395435cd4bd48e1"/>
    <x:sheet xmlns:r="http://schemas.openxmlformats.org/officeDocument/2006/relationships" name="13_チェック" sheetId="14" r:id="R43578fd674214325"/>
    <x:sheet xmlns:r="http://schemas.openxmlformats.org/officeDocument/2006/relationships" name="14_使い方" sheetId="15" r:id="Rd35b30ad1a05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0.0%"/>
    <x:numFmt numFmtId="202" formatCode="@"/>
    <x:numFmt numFmtId="203" formatCode="0.0x"/>
    <x:numFmt numFmtId="204" formatCode="yyyy/mm/dd"/>
    <x:numFmt numFmtId="205" formatCode="yyyy/mm"/>
  </x:numFmts>
  <x:fonts count="18">
    <x:font>
      <x:sz val="11"/>
      <x:name val="Carlito"/>
    </x:font>
    <x:font>
      <x:sz val="10"/>
      <x:name val="Hiragino Sans"/>
    </x:font>
    <x:font>
      <x:b/>
      <x:sz val="16"/>
      <x:color rgb="FFFFFFFF"/>
      <x:name val="Hiragino Sans"/>
    </x:font>
    <x:font>
      <x:b/>
      <x:sz val="10"/>
      <x:color rgb="FFFFFFFF"/>
      <x:name val="Hiragino Sans"/>
    </x:font>
    <x:font>
      <x:sz val="10"/>
      <x:name val="Hiragino Sans"/>
    </x:font>
    <x:font>
      <x:sz val="10"/>
      <x:color rgb="FF0000FF"/>
      <x:name val="Hiragino Sans"/>
    </x:font>
    <x:font>
      <x:sz val="10"/>
      <x:color rgb="FF000000"/>
      <x:name val="Hiragino Sans"/>
    </x:font>
    <x:font>
      <x:b/>
      <x:sz val="11"/>
      <x:color rgb="FFFFFFFF"/>
      <x:name val="Hiragino Sans"/>
    </x:font>
    <x:font>
      <x:sz val="10"/>
      <x:color rgb="FF008000"/>
      <x:name val="Hiragino Sans"/>
    </x:font>
    <x:font>
      <x:b/>
      <x:sz val="18"/>
      <x:color rgb="FFFFFFFF"/>
      <x:name val="Hiragino Sans"/>
    </x:font>
    <x:font>
      <x:b/>
      <x:sz val="11"/>
      <x:color rgb="FF0000FF"/>
      <x:name val="Hiragino Sans"/>
    </x:font>
    <x:font>
      <x:b/>
      <x:sz val="11"/>
      <x:color rgb="FF008000"/>
      <x:name val="Hiragino Sans"/>
    </x:font>
    <x:font>
      <x:sz val="11"/>
      <x:name val="Hiragino Sans"/>
    </x:font>
    <x:font>
      <x:b/>
      <x:sz val="10"/>
      <x:color rgb="FF0000FF"/>
      <x:name val="Hiragino Sans"/>
    </x:font>
    <x:font>
      <x:b/>
      <x:sz val="10"/>
      <x:color rgb="FF008000"/>
      <x:name val="Hiragino Sans"/>
    </x:font>
    <x:font>
      <x:sz val="11"/>
      <x:color rgb="FF0000FF"/>
      <x:name val="Hiragino Sans"/>
    </x:font>
    <x:font>
      <x:sz val="11"/>
      <x:color rgb="FF000000"/>
      <x:name val="Hiragino Sans"/>
    </x:font>
    <x:font>
      <x:sz val="11"/>
      <x:color rgb="FF008000"/>
      <x:name val="Hiragino San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4" borderId="1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5" fillId="4" borderId="0" xfId="0" applyNumberFormat="1" applyFont="1" applyFill="1" applyBorder="1"/>
    <x:xf numFmtId="200" fontId="6" fillId="0" borderId="0" xfId="0" applyNumberFormat="1" applyFont="1" applyFill="1" applyBorder="1"/>
    <x:xf numFmtId="200" fontId="5" fillId="4" borderId="1" xfId="0" applyNumberFormat="1" applyFont="1" applyFill="1" applyBorder="1"/>
    <x:xf numFmtId="200" fontId="6" fillId="0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0" fillId="4" borderId="1" xfId="0" applyNumberFormat="1" applyFont="1" applyFill="1" applyBorder="1"/>
    <x:xf numFmtId="0" fontId="10" fillId="4" borderId="1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0" fillId="5" borderId="1" xfId="0" applyNumberFormat="1" applyFont="1" applyFill="1" applyBorder="1"/>
    <x:xf numFmtId="0" fontId="11" fillId="5" borderId="1" xfId="0" applyNumberFormat="1" applyFont="1" applyFill="1" applyBorder="1"/>
    <x:xf numFmtId="0" fontId="0" fillId="3" borderId="0" xfId="0" applyNumberFormat="1" applyFont="1" applyFill="1" applyBorder="1"/>
    <x:xf numFmtId="0" fontId="12" fillId="3" borderId="0" xfId="0" applyNumberFormat="1" applyFont="1" applyFill="1" applyBorder="1"/>
    <x:xf numFmtId="0" fontId="0" fillId="3" borderId="1" xfId="0" applyNumberFormat="1" applyFont="1" applyFill="1" applyBorder="1"/>
    <x:xf numFmtId="0" fontId="1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203" fontId="11" fillId="0" borderId="0" xfId="0" applyNumberFormat="1" applyFont="1" applyFill="1" applyBorder="1"/>
    <x:xf numFmtId="200" fontId="11" fillId="0" borderId="1" xfId="0" applyNumberFormat="1" applyFont="1" applyFill="1" applyBorder="1"/>
    <x:xf numFmtId="201" fontId="11" fillId="0" borderId="1" xfId="0" applyNumberFormat="1" applyFont="1" applyFill="1" applyBorder="1"/>
    <x:xf numFmtId="203" fontId="11" fillId="0" borderId="1" xfId="0" applyNumberFormat="1" applyFont="1" applyFill="1" applyBorder="1"/>
    <x:xf numFmtId="0" fontId="13" fillId="4" borderId="0" xfId="0" applyNumberFormat="1" applyFont="1" applyFill="1" applyBorder="1"/>
    <x:xf numFmtId="0" fontId="14" fillId="5" borderId="0" xfId="0" applyNumberFormat="1" applyFont="1" applyFill="1" applyBorder="1"/>
    <x:xf numFmtId="200" fontId="14" fillId="0" borderId="0" xfId="0" applyNumberFormat="1" applyFont="1" applyFill="1" applyBorder="1"/>
    <x:xf numFmtId="201" fontId="14" fillId="0" borderId="0" xfId="0" applyNumberFormat="1" applyFont="1" applyFill="1" applyBorder="1"/>
    <x:xf numFmtId="203" fontId="14" fillId="0" borderId="0" xfId="0" applyNumberFormat="1" applyFont="1" applyFill="1" applyBorder="1"/>
    <x:xf numFmtId="0" fontId="13" fillId="4" borderId="1" xfId="0" applyNumberFormat="1" applyFont="1" applyFill="1" applyBorder="1"/>
    <x:xf numFmtId="0" fontId="14" fillId="5" borderId="1" xfId="0" applyNumberFormat="1" applyFont="1" applyFill="1" applyBorder="1"/>
    <x:xf numFmtId="200" fontId="14" fillId="0" borderId="1" xfId="0" applyNumberFormat="1" applyFont="1" applyFill="1" applyBorder="1"/>
    <x:xf numFmtId="201" fontId="14" fillId="0" borderId="1" xfId="0" applyNumberFormat="1" applyFont="1" applyFill="1" applyBorder="1"/>
    <x:xf numFmtId="203" fontId="14" fillId="0" borderId="1" xfId="0" applyNumberFormat="1" applyFont="1" applyFill="1" applyBorder="1"/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0" fillId="6" borderId="1" xfId="0" applyNumberFormat="1" applyFont="1" applyFill="1" applyBorder="1"/>
    <x:xf numFmtId="0" fontId="15" fillId="6" borderId="1" xfId="0" applyNumberFormat="1" applyFont="1" applyFill="1" applyBorder="1"/>
    <x:xf numFmtId="204" fontId="15" fillId="6" borderId="0" xfId="0" applyNumberFormat="1" applyFont="1" applyFill="1" applyBorder="1"/>
    <x:xf numFmtId="204" fontId="15" fillId="6" borderId="1" xfId="0" applyNumberFormat="1" applyFont="1" applyFill="1" applyBorder="1"/>
    <x:xf numFmtId="200" fontId="15" fillId="6" borderId="0" xfId="0" applyNumberFormat="1" applyFont="1" applyFill="1" applyBorder="1"/>
    <x:xf numFmtId="200" fontId="15" fillId="6" borderId="1" xfId="0" applyNumberFormat="1" applyFont="1" applyFill="1" applyBorder="1"/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205" fontId="15" fillId="0" borderId="0" xfId="0" applyNumberFormat="1" applyFont="1" applyFill="1" applyBorder="1"/>
    <x:xf numFmtId="205" fontId="15" fillId="0" borderId="1" xfId="0" applyNumberFormat="1" applyFont="1" applyFill="1" applyBorder="1"/>
    <x:xf numFmtId="204" fontId="15" fillId="0" borderId="0" xfId="0" applyNumberFormat="1" applyFont="1" applyFill="1" applyBorder="1"/>
    <x:xf numFmtId="204" fontId="15" fillId="0" borderId="1" xfId="0" applyNumberFormat="1" applyFont="1" applyFill="1" applyBorder="1"/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204" fontId="15" fillId="4" borderId="0" xfId="0" applyNumberFormat="1" applyFont="1" applyFill="1" applyBorder="1"/>
    <x:xf numFmtId="204" fontId="15" fillId="4" borderId="1" xfId="0" applyNumberFormat="1" applyFont="1" applyFill="1" applyBorder="1"/>
    <x:xf numFmtId="200" fontId="15" fillId="4" borderId="0" xfId="0" applyNumberFormat="1" applyFont="1" applyFill="1" applyBorder="1"/>
    <x:xf numFmtId="200" fontId="15" fillId="4" borderId="1" xfId="0" applyNumberFormat="1" applyFont="1" applyFill="1" applyBorder="1"/>
    <x:xf numFmtId="0" fontId="12" fillId="6" borderId="0" xfId="0" applyNumberFormat="1" applyFont="1" applyFill="1" applyBorder="1"/>
    <x:xf numFmtId="0" fontId="12" fillId="6" borderId="1" xfId="0" applyNumberFormat="1" applyFont="1" applyFill="1" applyBorder="1"/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200" fontId="17" fillId="0" borderId="0" xfId="0" applyNumberFormat="1" applyFont="1" applyFill="1" applyBorder="1"/>
    <x:xf numFmtId="200" fontId="17" fillId="0" borderId="1" xfId="0" applyNumberFormat="1" applyFont="1" applyFill="1" applyBorder="1"/>
    <x:xf numFmtId="201" fontId="17" fillId="0" borderId="0" xfId="0" applyNumberFormat="1" applyFont="1" applyFill="1" applyBorder="1"/>
    <x:xf numFmtId="201" fontId="17" fillId="0" borderId="1" xfId="0" applyNumberFormat="1" applyFont="1" applyFill="1" applyBorder="1"/>
    <x:xf numFmtId="203" fontId="17" fillId="0" borderId="0" xfId="0" applyNumberFormat="1" applyFont="1" applyFill="1" applyBorder="1"/>
    <x:xf numFmtId="203" fontId="17" fillId="0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d09879dc74854" /><Relationship Type="http://schemas.openxmlformats.org/officeDocument/2006/relationships/theme" Target="/xl/theme/theme1.xml" Id="R7e943ae1ec2847c3" /><Relationship Type="http://schemas.openxmlformats.org/officeDocument/2006/relationships/sharedStrings" Target="/xl/sharedStrings.xml" Id="Recae426c73264f70" /><Relationship Type="http://schemas.openxmlformats.org/officeDocument/2006/relationships/worksheet" Target="/xl/worksheets/sheet1.xml" Id="R09d0fedd96e44393" /><Relationship Type="http://schemas.openxmlformats.org/officeDocument/2006/relationships/worksheet" Target="/xl/worksheets/sheet2.xml" Id="R1618722ee5594f69" /><Relationship Type="http://schemas.openxmlformats.org/officeDocument/2006/relationships/worksheet" Target="/xl/worksheets/sheet3.xml" Id="R0e966ad9794e404e" /><Relationship Type="http://schemas.openxmlformats.org/officeDocument/2006/relationships/worksheet" Target="/xl/worksheets/sheet4.xml" Id="R8837314b0bce4380" /><Relationship Type="http://schemas.openxmlformats.org/officeDocument/2006/relationships/worksheet" Target="/xl/worksheets/sheet5.xml" Id="R4d5cb3e715d24137" /><Relationship Type="http://schemas.openxmlformats.org/officeDocument/2006/relationships/worksheet" Target="/xl/worksheets/sheet6.xml" Id="Rf75b69cef9644dfe" /><Relationship Type="http://schemas.openxmlformats.org/officeDocument/2006/relationships/worksheet" Target="/xl/worksheets/sheet7.xml" Id="R447c88d708df4192" /><Relationship Type="http://schemas.openxmlformats.org/officeDocument/2006/relationships/worksheet" Target="/xl/worksheets/sheet8.xml" Id="R8110184c81424d86" /><Relationship Type="http://schemas.openxmlformats.org/officeDocument/2006/relationships/worksheet" Target="/xl/worksheets/sheet9.xml" Id="Ra07957e755014f34" /><Relationship Type="http://schemas.openxmlformats.org/officeDocument/2006/relationships/worksheet" Target="/xl/worksheets/sheet10.xml" Id="R41af4452974f488d" /><Relationship Type="http://schemas.openxmlformats.org/officeDocument/2006/relationships/worksheet" Target="/xl/worksheets/sheet11.xml" Id="R0932cf41b07c4027" /><Relationship Type="http://schemas.openxmlformats.org/officeDocument/2006/relationships/worksheet" Target="/xl/worksheets/sheet12.xml" Id="R36abb9da81a8436e" /><Relationship Type="http://schemas.openxmlformats.org/officeDocument/2006/relationships/worksheet" Target="/xl/worksheets/sheet13.xml" Id="R5395435cd4bd48e1" /><Relationship Type="http://schemas.openxmlformats.org/officeDocument/2006/relationships/worksheet" Target="/xl/worksheets/sheet14.xml" Id="R43578fd674214325" /><Relationship Type="http://schemas.openxmlformats.org/officeDocument/2006/relationships/worksheet" Target="/xl/worksheets/sheet15.xml" Id="Rd35b30ad1a0542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8" t="str">
        <x:v>喜らく 統合3表モデル｜ダッシュボード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74" t="str">
        <x:v>表示月</x:v>
      </x:c>
      <x:c r="B3" s="74" t="str">
        <x:v>2031/03</x:v>
      </x:c>
      <x:c r="C3" s="2"/>
      <x:c r="D3" s="75" t="str">
        <x:v>月次入力は「01_入力ページ」の黄色セルのみ。実績BS残高は任意入力、未入力ならモデル計算。</x:v>
      </x:c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指標</x:v>
      </x:c>
      <x:c r="B5" s="8" t="str">
        <x:v>単位</x:v>
      </x:c>
      <x:c r="C5" s="8" t="str">
        <x:v>表示月実績</x:v>
      </x:c>
      <x:c r="D5" s="8" t="str">
        <x:v>コメント</x:v>
      </x:c>
      <x:c r="E5" s="2"/>
      <x:c r="F5" s="2"/>
      <x:c r="G5" s="2"/>
      <x:c r="H5" s="2"/>
      <x:c r="I5" s="2"/>
      <x:c r="J5" s="2"/>
      <x:c r="K5" s="2"/>
      <x:c r="L5" s="2"/>
    </x:row>
    <x:row r="6">
      <x:c r="A6" s="12" t="str">
        <x:v>売上高</x:v>
      </x:c>
      <x:c r="B6" s="12" t="str">
        <x:v>千円</x:v>
      </x:c>
      <x:c r="C6" s="76" t="n">
        <x:f>INDEX('06_PL'!$C$8:$BJ$8,1,MATCH($B$3,'06_PL'!$C$5:$BJ$5,0))</x:f>
        <x:v>3386.75</x:v>
      </x:c>
      <x:c r="D6" s="2" t="str"/>
      <x:c r="E6" s="2"/>
      <x:c r="F6" s="2"/>
      <x:c r="G6" s="2"/>
      <x:c r="H6" s="2"/>
      <x:c r="I6" s="2"/>
      <x:c r="J6" s="2"/>
      <x:c r="K6" s="2"/>
      <x:c r="L6" s="2"/>
    </x:row>
    <x:row r="7">
      <x:c r="A7" s="12" t="str">
        <x:v>GOP after MC / EBITDA</x:v>
      </x:c>
      <x:c r="B7" s="12" t="str">
        <x:v>千円</x:v>
      </x:c>
      <x:c r="C7" s="76" t="n">
        <x:f>INDEX('06_PL'!$C$29:$BJ$29,1,MATCH($B$3,'06_PL'!$C$5:$BJ$5,0))</x:f>
        <x:v>522.0631250000001</x:v>
      </x:c>
      <x:c r="D7" s="2" t="str"/>
      <x:c r="E7" s="2"/>
      <x:c r="F7" s="2"/>
      <x:c r="G7" s="2"/>
      <x:c r="H7" s="2"/>
      <x:c r="I7" s="2"/>
      <x:c r="J7" s="2"/>
      <x:c r="K7" s="2"/>
      <x:c r="L7" s="2"/>
    </x:row>
    <x:row r="8">
      <x:c r="A8" s="12" t="str">
        <x:v>営業利益</x:v>
      </x:c>
      <x:c r="B8" s="12" t="str">
        <x:v>千円</x:v>
      </x:c>
      <x:c r="C8" s="76" t="n">
        <x:f>INDEX('06_PL'!$C$31:$BJ$31,1,MATCH($B$3,'06_PL'!$C$5:$BJ$5,0))</x:f>
        <x:v>22.063125000000127</x:v>
      </x:c>
      <x:c r="D8" s="2" t="str"/>
      <x:c r="E8" s="2"/>
      <x:c r="F8" s="2"/>
      <x:c r="G8" s="2"/>
      <x:c r="H8" s="2"/>
      <x:c r="I8" s="2"/>
      <x:c r="J8" s="2"/>
      <x:c r="K8" s="2"/>
      <x:c r="L8" s="2"/>
    </x:row>
    <x:row r="9">
      <x:c r="A9" s="12" t="str">
        <x:v>経常利益</x:v>
      </x:c>
      <x:c r="B9" s="12" t="str">
        <x:v>千円</x:v>
      </x:c>
      <x:c r="C9" s="76" t="n">
        <x:f>INDEX('06_PL'!$C$35:$BJ$35,1,MATCH($B$3,'06_PL'!$C$5:$BJ$5,0))</x:f>
        <x:v>-21.77020833333321</x:v>
      </x:c>
      <x:c r="D9" s="2" t="str"/>
      <x:c r="E9" s="2"/>
      <x:c r="F9" s="2"/>
      <x:c r="G9" s="2"/>
      <x:c r="H9" s="2"/>
      <x:c r="I9" s="2"/>
      <x:c r="J9" s="2"/>
      <x:c r="K9" s="2"/>
      <x:c r="L9" s="2"/>
    </x:row>
    <x:row r="10">
      <x:c r="A10" s="12" t="str">
        <x:v>当期純利益</x:v>
      </x:c>
      <x:c r="B10" s="12" t="str">
        <x:v>千円</x:v>
      </x:c>
      <x:c r="C10" s="76" t="n">
        <x:f>INDEX('06_PL'!$C$37:$BJ$37,1,MATCH($B$3,'06_PL'!$C$5:$BJ$5,0))</x:f>
        <x:v>-258.9689583333332</x:v>
      </x:c>
      <x:c r="D10" s="2" t="str"/>
      <x:c r="E10" s="2"/>
      <x:c r="F10" s="2"/>
      <x:c r="G10" s="2"/>
      <x:c r="H10" s="2"/>
      <x:c r="I10" s="2"/>
      <x:c r="J10" s="2"/>
      <x:c r="K10" s="2"/>
      <x:c r="L10" s="2"/>
    </x:row>
    <x:row r="11">
      <x:c r="A11" s="12" t="str">
        <x:v>現預金</x:v>
      </x:c>
      <x:c r="B11" s="12" t="str">
        <x:v>千円</x:v>
      </x:c>
      <x:c r="C11" s="76" t="n">
        <x:f>INDEX('07_BS'!$C$6:$BJ$6,1,MATCH($B$3,'06_PL'!$C$5:$BJ$5,0))</x:f>
        <x:v>68570.39244596774</x:v>
      </x:c>
      <x:c r="D11" s="2" t="str"/>
      <x:c r="E11" s="2"/>
      <x:c r="F11" s="2"/>
      <x:c r="G11" s="2"/>
      <x:c r="H11" s="2"/>
      <x:c r="I11" s="2"/>
      <x:c r="J11" s="2"/>
      <x:c r="K11" s="2"/>
      <x:c r="L11" s="2"/>
    </x:row>
    <x:row r="12">
      <x:c r="A12" s="12" t="str">
        <x:v>借入金</x:v>
      </x:c>
      <x:c r="B12" s="12" t="str">
        <x:v>千円</x:v>
      </x:c>
      <x:c r="C12" s="76" t="n">
        <x:f>INDEX('07_BS'!$C$12:$BJ$12,1,MATCH($B$3,'06_PL'!$C$5:$BJ$5,0))</x:f>
        <x:v>26300</x:v>
      </x:c>
      <x:c r="D12" s="2" t="str"/>
      <x:c r="E12" s="2"/>
      <x:c r="F12" s="2"/>
      <x:c r="G12" s="2"/>
      <x:c r="H12" s="2"/>
      <x:c r="I12" s="2"/>
      <x:c r="J12" s="2"/>
      <x:c r="K12" s="2"/>
      <x:c r="L12" s="2"/>
    </x:row>
    <x:row r="13">
      <x:c r="A13" s="12" t="str">
        <x:v>Net Debt</x:v>
      </x:c>
      <x:c r="B13" s="12" t="str">
        <x:v>千円</x:v>
      </x:c>
      <x:c r="C13" s="76" t="n">
        <x:f>INDEX('10_KPI'!$C$26:$BJ$26,1,MATCH($B$3,'06_PL'!$C$5:$BJ$5,0))</x:f>
        <x:v>-42270.39244596774</x:v>
      </x:c>
      <x:c r="D13" s="2" t="str"/>
      <x:c r="E13" s="2"/>
      <x:c r="F13" s="2"/>
      <x:c r="G13" s="2"/>
      <x:c r="H13" s="2"/>
      <x:c r="I13" s="2"/>
      <x:c r="J13" s="2"/>
      <x:c r="K13" s="2"/>
      <x:c r="L13" s="2"/>
    </x:row>
    <x:row r="14">
      <x:c r="A14" s="12" t="str">
        <x:v>稼働率</x:v>
      </x:c>
      <x:c r="B14" s="12" t="str">
        <x:v>%</x:v>
      </x:c>
      <x:c r="C14" s="77" t="n">
        <x:f>INDEX('10_KPI'!$C$9:$BJ$9,1,MATCH($B$3,'06_PL'!$C$5:$BJ$5,0))</x:f>
        <x:v>0.5</x:v>
      </x:c>
      <x:c r="D14" s="2" t="str"/>
      <x:c r="E14" s="2"/>
      <x:c r="F14" s="2"/>
      <x:c r="G14" s="2"/>
      <x:c r="H14" s="2"/>
      <x:c r="I14" s="2"/>
      <x:c r="J14" s="2"/>
      <x:c r="K14" s="2"/>
      <x:c r="L14" s="2"/>
    </x:row>
    <x:row r="15">
      <x:c r="A15" s="12" t="str">
        <x:v>ADR</x:v>
      </x:c>
      <x:c r="B15" s="12" t="str">
        <x:v>円</x:v>
      </x:c>
      <x:c r="C15" s="76" t="n">
        <x:f>INDEX('10_KPI'!$C$10:$BJ$10,1,MATCH($B$3,'06_PL'!$C$5:$BJ$5,0))</x:f>
        <x:v>11500</x:v>
      </x:c>
      <x:c r="D15" s="2" t="str"/>
      <x:c r="E15" s="2"/>
      <x:c r="F15" s="2"/>
      <x:c r="G15" s="2"/>
      <x:c r="H15" s="2"/>
      <x:c r="I15" s="2"/>
      <x:c r="J15" s="2"/>
      <x:c r="K15" s="2"/>
      <x:c r="L15" s="2"/>
    </x:row>
    <x:row r="16">
      <x:c r="A16" s="12" t="str">
        <x:v>RevPAR</x:v>
      </x:c>
      <x:c r="B16" s="12" t="str">
        <x:v>円</x:v>
      </x:c>
      <x:c r="C16" s="76" t="n">
        <x:f>INDEX('10_KPI'!$C$11:$BJ$11,1,MATCH($B$3,'06_PL'!$C$5:$BJ$5,0))</x:f>
        <x:v>5750</x:v>
      </x:c>
      <x:c r="D16" s="2" t="str"/>
      <x:c r="E16" s="2"/>
      <x:c r="F16" s="2"/>
      <x:c r="G16" s="2"/>
      <x:c r="H16" s="2"/>
      <x:c r="I16" s="2"/>
      <x:c r="J16" s="2"/>
      <x:c r="K16" s="2"/>
      <x:c r="L16" s="2"/>
    </x:row>
    <x:row r="17">
      <x:c r="A17" s="12" t="str">
        <x:v>DSCR</x:v>
      </x:c>
      <x:c r="B17" s="12" t="str">
        <x:v>倍</x:v>
      </x:c>
      <x:c r="C17" s="78" t="n">
        <x:f>INDEX('10_KPI'!$C$27:$BJ$27,1,MATCH($B$3,'06_PL'!$C$5:$BJ$5,0))</x:f>
        <x:v>11.910185361216731</x:v>
      </x:c>
      <x:c r="D17" s="2" t="str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8" t="str">
        <x:v>主要チェック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12" t="str">
        <x:v>BSバランス</x:v>
      </x:c>
      <x:c r="B21" s="36" t="n">
        <x:f>INDEX('07_BS'!$C$19:$BJ$19,1,MATCH($B$3,'07_BS'!$C$5:$BJ$5,0))</x:f>
        <x:v>0</x:v>
      </x:c>
      <x:c r="C21" s="2" t="str">
        <x:v>0ならOK</x:v>
      </x:c>
      <x:c r="D21" s="2" t="str"/>
      <x:c r="E21" s="2"/>
      <x:c r="F21" s="2"/>
      <x:c r="G21" s="2"/>
      <x:c r="H21" s="2"/>
      <x:c r="I21" s="2"/>
      <x:c r="J21" s="2"/>
      <x:c r="K21" s="2"/>
      <x:c r="L21" s="2"/>
    </x:row>
    <x:row r="22">
      <x:c r="A22" s="12" t="str">
        <x:v>借入RFチェック</x:v>
      </x:c>
      <x:c r="B22" s="36" t="n">
        <x:f>INDEX('09_借入返済'!$C$13:$BJ$13,1,MATCH($B$3,'09_借入返済'!$C$5:$BJ$5,0))</x:f>
        <x:v>0</x:v>
      </x:c>
      <x:c r="C22" s="2" t="str">
        <x:v>0ならOK</x:v>
      </x:c>
      <x:c r="D22" s="2" t="str"/>
      <x:c r="E22" s="2"/>
      <x:c r="F22" s="2"/>
      <x:c r="G22" s="2"/>
      <x:c r="H22" s="2"/>
      <x:c r="I22" s="2"/>
      <x:c r="J22" s="2"/>
      <x:c r="K22" s="2"/>
      <x:c r="L22" s="2"/>
    </x:row>
    <x:row r="23">
      <x:c r="A23" s="12" t="str">
        <x:v>CF現預金差額</x:v>
      </x:c>
      <x:c r="B23" s="36" t="n">
        <x:f>INDEX('08_CF'!$C$21:$BJ$21,1,MATCH($B$3,'08_CF'!$C$5:$BJ$5,0))-INDEX('07_BS'!$C$6:$BJ$6,1,MATCH($B$3,'07_BS'!$C$5:$BJ$5,0))</x:f>
        <x:v>0</x:v>
      </x:c>
      <x:c r="C23" s="2" t="str">
        <x:v>0ならOK</x:v>
      </x:c>
      <x:c r="D23" s="2" t="str"/>
      <x:c r="E23" s="2"/>
      <x:c r="F23" s="2"/>
      <x:c r="G23" s="2"/>
      <x:c r="H23" s="2"/>
      <x:c r="I23" s="2"/>
      <x:c r="J23" s="2"/>
      <x:c r="K23" s="2"/>
      <x:c r="L23" s="2"/>
    </x:row>
    <x:row r="24">
      <x:c r="A24" s="12" t="str">
        <x:v>未分類銀行明細件数</x:v>
      </x:c>
      <x:c r="B24" s="36" t="n">
        <x:f>COUNTIFS('02_銀行API取込'!$A$7:$A$506,"&lt;&gt;",'02_銀行API取込'!$H$7:$H$506,"&lt;&gt;分類済")</x:f>
        <x:v>0</x:v>
      </x:c>
      <x:c r="C24" s="2" t="str">
        <x:v>0が理想</x:v>
      </x:c>
      <x:c r="D24" s="2" t="str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mergeCells>
    <x:mergeCell ref="A1:L1"/>
    <x:mergeCell ref="D3:L3"/>
    <x:mergeCell ref="A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喜らく 統合入力ページ｜月次実績・予算・銀行API連携ベース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</x:row>
    <x:row r="2">
      <x:c r="A2" s="2" t="str">
        <x:v>単位</x:v>
      </x:c>
      <x:c r="B2" s="2" t="str">
        <x:v>千円 / % / 室 / 人 / 時間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</x:row>
    <x:row r="3">
      <x:c r="A3" s="2" t="str">
        <x:v>入力ルール</x:v>
      </x:c>
      <x:c r="B3" s="2" t="str">
        <x:v>黄色セル・青字のみ入力。黒字は同一シート計算、緑字は他シート連動。月次実績が未確定の場合は暫定値を入力。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</x:row>
    <x:row r="5">
      <x:c r="A5" s="9" t="str">
        <x:v>区分</x:v>
      </x:c>
      <x:c r="B5" s="9" t="str">
        <x:v>項目</x:v>
      </x:c>
      <x:c r="C5" s="9" t="str">
        <x:v>2026/04</x:v>
      </x:c>
      <x:c r="D5" s="9" t="str">
        <x:v>2026/05</x:v>
      </x:c>
      <x:c r="E5" s="9" t="str">
        <x:v>2026/06</x:v>
      </x:c>
      <x:c r="F5" s="9" t="str">
        <x:v>2026/07</x:v>
      </x:c>
      <x:c r="G5" s="9" t="str">
        <x:v>2026/08</x:v>
      </x:c>
      <x:c r="H5" s="9" t="str">
        <x:v>2026/09</x:v>
      </x:c>
      <x:c r="I5" s="9" t="str">
        <x:v>2026/10</x:v>
      </x:c>
      <x:c r="J5" s="9" t="str">
        <x:v>2026/11</x:v>
      </x:c>
      <x:c r="K5" s="9" t="str">
        <x:v>2026/12</x:v>
      </x:c>
      <x:c r="L5" s="9" t="str">
        <x:v>2027/01</x:v>
      </x:c>
      <x:c r="M5" s="9" t="str">
        <x:v>2027/02</x:v>
      </x:c>
      <x:c r="N5" s="9" t="str">
        <x:v>2027/03</x:v>
      </x:c>
      <x:c r="O5" s="9" t="str">
        <x:v>2027/04</x:v>
      </x:c>
      <x:c r="P5" s="9" t="str">
        <x:v>2027/05</x:v>
      </x:c>
      <x:c r="Q5" s="9" t="str">
        <x:v>2027/06</x:v>
      </x:c>
      <x:c r="R5" s="9" t="str">
        <x:v>2027/07</x:v>
      </x:c>
      <x:c r="S5" s="9" t="str">
        <x:v>2027/08</x:v>
      </x:c>
      <x:c r="T5" s="9" t="str">
        <x:v>2027/09</x:v>
      </x:c>
      <x:c r="U5" s="9" t="str">
        <x:v>2027/10</x:v>
      </x:c>
      <x:c r="V5" s="9" t="str">
        <x:v>2027/11</x:v>
      </x:c>
      <x:c r="W5" s="9" t="str">
        <x:v>2027/12</x:v>
      </x:c>
      <x:c r="X5" s="9" t="str">
        <x:v>2028/01</x:v>
      </x:c>
      <x:c r="Y5" s="9" t="str">
        <x:v>2028/02</x:v>
      </x:c>
      <x:c r="Z5" s="9" t="str">
        <x:v>2028/03</x:v>
      </x:c>
      <x:c r="AA5" s="9" t="str">
        <x:v>2028/04</x:v>
      </x:c>
      <x:c r="AB5" s="9" t="str">
        <x:v>2028/05</x:v>
      </x:c>
      <x:c r="AC5" s="9" t="str">
        <x:v>2028/06</x:v>
      </x:c>
      <x:c r="AD5" s="9" t="str">
        <x:v>2028/07</x:v>
      </x:c>
      <x:c r="AE5" s="9" t="str">
        <x:v>2028/08</x:v>
      </x:c>
      <x:c r="AF5" s="9" t="str">
        <x:v>2028/09</x:v>
      </x:c>
      <x:c r="AG5" s="9" t="str">
        <x:v>2028/10</x:v>
      </x:c>
      <x:c r="AH5" s="9" t="str">
        <x:v>2028/11</x:v>
      </x:c>
      <x:c r="AI5" s="9" t="str">
        <x:v>2028/12</x:v>
      </x:c>
      <x:c r="AJ5" s="9" t="str">
        <x:v>2029/01</x:v>
      </x:c>
      <x:c r="AK5" s="9" t="str">
        <x:v>2029/02</x:v>
      </x:c>
      <x:c r="AL5" s="9" t="str">
        <x:v>2029/03</x:v>
      </x:c>
      <x:c r="AM5" s="9" t="str">
        <x:v>2029/04</x:v>
      </x:c>
      <x:c r="AN5" s="9" t="str">
        <x:v>2029/05</x:v>
      </x:c>
      <x:c r="AO5" s="9" t="str">
        <x:v>2029/06</x:v>
      </x:c>
      <x:c r="AP5" s="9" t="str">
        <x:v>2029/07</x:v>
      </x:c>
      <x:c r="AQ5" s="9" t="str">
        <x:v>2029/08</x:v>
      </x:c>
      <x:c r="AR5" s="9" t="str">
        <x:v>2029/09</x:v>
      </x:c>
      <x:c r="AS5" s="9" t="str">
        <x:v>2029/10</x:v>
      </x:c>
      <x:c r="AT5" s="9" t="str">
        <x:v>2029/11</x:v>
      </x:c>
      <x:c r="AU5" s="9" t="str">
        <x:v>2029/12</x:v>
      </x:c>
      <x:c r="AV5" s="9" t="str">
        <x:v>2030/01</x:v>
      </x:c>
      <x:c r="AW5" s="9" t="str">
        <x:v>2030/02</x:v>
      </x:c>
      <x:c r="AX5" s="9" t="str">
        <x:v>2030/03</x:v>
      </x:c>
      <x:c r="AY5" s="9" t="str">
        <x:v>2030/04</x:v>
      </x:c>
      <x:c r="AZ5" s="9" t="str">
        <x:v>2030/05</x:v>
      </x:c>
      <x:c r="BA5" s="9" t="str">
        <x:v>2030/06</x:v>
      </x:c>
      <x:c r="BB5" s="9" t="str">
        <x:v>2030/07</x:v>
      </x:c>
      <x:c r="BC5" s="9" t="str">
        <x:v>2030/08</x:v>
      </x:c>
      <x:c r="BD5" s="9" t="str">
        <x:v>2030/09</x:v>
      </x:c>
      <x:c r="BE5" s="9" t="str">
        <x:v>2030/10</x:v>
      </x:c>
      <x:c r="BF5" s="9" t="str">
        <x:v>2030/11</x:v>
      </x:c>
      <x:c r="BG5" s="9" t="str">
        <x:v>2030/12</x:v>
      </x:c>
      <x:c r="BH5" s="9" t="str">
        <x:v>2031/01</x:v>
      </x:c>
      <x:c r="BI5" s="9" t="str">
        <x:v>2031/02</x:v>
      </x:c>
      <x:c r="BJ5" s="9" t="str">
        <x:v>2031/03</x:v>
      </x:c>
    </x:row>
    <x:row r="6">
      <x:c r="A6" s="13" t="str">
        <x:v>基本設定</x:v>
      </x:c>
      <x:c r="B6" s="13" t="str">
        <x:v>客室数</x:v>
      </x:c>
      <x:c r="C6" s="22" t="n">
        <x:v>19</x:v>
      </x:c>
      <x:c r="D6" s="22" t="n">
        <x:v>19</x:v>
      </x:c>
      <x:c r="E6" s="22" t="n">
        <x:v>19</x:v>
      </x:c>
      <x:c r="F6" s="22" t="n">
        <x:v>19</x:v>
      </x:c>
      <x:c r="G6" s="22" t="n">
        <x:v>19</x:v>
      </x:c>
      <x:c r="H6" s="22" t="n">
        <x:v>19</x:v>
      </x:c>
      <x:c r="I6" s="22" t="n">
        <x:v>19</x:v>
      </x:c>
      <x:c r="J6" s="22" t="n">
        <x:v>19</x:v>
      </x:c>
      <x:c r="K6" s="22" t="n">
        <x:v>19</x:v>
      </x:c>
      <x:c r="L6" s="22" t="n">
        <x:v>19</x:v>
      </x:c>
      <x:c r="M6" s="22" t="n">
        <x:v>19</x:v>
      </x:c>
      <x:c r="N6" s="22" t="n">
        <x:v>19</x:v>
      </x:c>
      <x:c r="O6" s="22" t="n">
        <x:v>19</x:v>
      </x:c>
      <x:c r="P6" s="22" t="n">
        <x:v>19</x:v>
      </x:c>
      <x:c r="Q6" s="22" t="n">
        <x:v>19</x:v>
      </x:c>
      <x:c r="R6" s="22" t="n">
        <x:v>19</x:v>
      </x:c>
      <x:c r="S6" s="22" t="n">
        <x:v>19</x:v>
      </x:c>
      <x:c r="T6" s="22" t="n">
        <x:v>19</x:v>
      </x:c>
      <x:c r="U6" s="22" t="n">
        <x:v>19</x:v>
      </x:c>
      <x:c r="V6" s="22" t="n">
        <x:v>19</x:v>
      </x:c>
      <x:c r="W6" s="22" t="n">
        <x:v>19</x:v>
      </x:c>
      <x:c r="X6" s="22" t="n">
        <x:v>19</x:v>
      </x:c>
      <x:c r="Y6" s="22" t="n">
        <x:v>19</x:v>
      </x:c>
      <x:c r="Z6" s="22" t="n">
        <x:v>19</x:v>
      </x:c>
      <x:c r="AA6" s="22" t="n">
        <x:v>19</x:v>
      </x:c>
      <x:c r="AB6" s="22" t="n">
        <x:v>19</x:v>
      </x:c>
      <x:c r="AC6" s="22" t="n">
        <x:v>19</x:v>
      </x:c>
      <x:c r="AD6" s="22" t="n">
        <x:v>19</x:v>
      </x:c>
      <x:c r="AE6" s="22" t="n">
        <x:v>19</x:v>
      </x:c>
      <x:c r="AF6" s="22" t="n">
        <x:v>19</x:v>
      </x:c>
      <x:c r="AG6" s="22" t="n">
        <x:v>19</x:v>
      </x:c>
      <x:c r="AH6" s="22" t="n">
        <x:v>19</x:v>
      </x:c>
      <x:c r="AI6" s="22" t="n">
        <x:v>19</x:v>
      </x:c>
      <x:c r="AJ6" s="22" t="n">
        <x:v>19</x:v>
      </x:c>
      <x:c r="AK6" s="22" t="n">
        <x:v>19</x:v>
      </x:c>
      <x:c r="AL6" s="22" t="n">
        <x:v>19</x:v>
      </x:c>
      <x:c r="AM6" s="22" t="n">
        <x:v>19</x:v>
      </x:c>
      <x:c r="AN6" s="22" t="n">
        <x:v>19</x:v>
      </x:c>
      <x:c r="AO6" s="22" t="n">
        <x:v>19</x:v>
      </x:c>
      <x:c r="AP6" s="22" t="n">
        <x:v>19</x:v>
      </x:c>
      <x:c r="AQ6" s="22" t="n">
        <x:v>19</x:v>
      </x:c>
      <x:c r="AR6" s="22" t="n">
        <x:v>19</x:v>
      </x:c>
      <x:c r="AS6" s="22" t="n">
        <x:v>19</x:v>
      </x:c>
      <x:c r="AT6" s="22" t="n">
        <x:v>19</x:v>
      </x:c>
      <x:c r="AU6" s="22" t="n">
        <x:v>19</x:v>
      </x:c>
      <x:c r="AV6" s="22" t="n">
        <x:v>19</x:v>
      </x:c>
      <x:c r="AW6" s="22" t="n">
        <x:v>19</x:v>
      </x:c>
      <x:c r="AX6" s="22" t="n">
        <x:v>19</x:v>
      </x:c>
      <x:c r="AY6" s="22" t="n">
        <x:v>19</x:v>
      </x:c>
      <x:c r="AZ6" s="22" t="n">
        <x:v>19</x:v>
      </x:c>
      <x:c r="BA6" s="22" t="n">
        <x:v>19</x:v>
      </x:c>
      <x:c r="BB6" s="22" t="n">
        <x:v>19</x:v>
      </x:c>
      <x:c r="BC6" s="22" t="n">
        <x:v>19</x:v>
      </x:c>
      <x:c r="BD6" s="22" t="n">
        <x:v>19</x:v>
      </x:c>
      <x:c r="BE6" s="22" t="n">
        <x:v>19</x:v>
      </x:c>
      <x:c r="BF6" s="22" t="n">
        <x:v>19</x:v>
      </x:c>
      <x:c r="BG6" s="22" t="n">
        <x:v>19</x:v>
      </x:c>
      <x:c r="BH6" s="22" t="n">
        <x:v>19</x:v>
      </x:c>
      <x:c r="BI6" s="22" t="n">
        <x:v>19</x:v>
      </x:c>
      <x:c r="BJ6" s="22" t="n">
        <x:v>19</x:v>
      </x:c>
    </x:row>
    <x:row r="7">
      <x:c r="A7" s="13" t="str">
        <x:v>基本設定</x:v>
      </x:c>
      <x:c r="B7" s="13" t="str">
        <x:v>営業日数</x:v>
      </x:c>
      <x:c r="C7" s="22" t="n">
        <x:f>DAY(EOMONTH(C$5,0))</x:f>
        <x:v>30</x:v>
      </x:c>
      <x:c r="D7" s="22" t="n">
        <x:f>DAY(EOMONTH(D$5,0))</x:f>
        <x:v>31</x:v>
      </x:c>
      <x:c r="E7" s="22" t="n">
        <x:f>DAY(EOMONTH(E$5,0))</x:f>
        <x:v>30</x:v>
      </x:c>
      <x:c r="F7" s="22" t="n">
        <x:f>DAY(EOMONTH(F$5,0))</x:f>
        <x:v>31</x:v>
      </x:c>
      <x:c r="G7" s="22" t="n">
        <x:f>DAY(EOMONTH(G$5,0))</x:f>
        <x:v>31</x:v>
      </x:c>
      <x:c r="H7" s="22" t="n">
        <x:f>DAY(EOMONTH(H$5,0))</x:f>
        <x:v>30</x:v>
      </x:c>
      <x:c r="I7" s="22" t="n">
        <x:f>DAY(EOMONTH(I$5,0))</x:f>
        <x:v>31</x:v>
      </x:c>
      <x:c r="J7" s="22" t="n">
        <x:f>DAY(EOMONTH(J$5,0))</x:f>
        <x:v>30</x:v>
      </x:c>
      <x:c r="K7" s="22" t="n">
        <x:f>DAY(EOMONTH(K$5,0))</x:f>
        <x:v>31</x:v>
      </x:c>
      <x:c r="L7" s="22" t="n">
        <x:f>DAY(EOMONTH(L$5,0))</x:f>
        <x:v>31</x:v>
      </x:c>
      <x:c r="M7" s="22" t="n">
        <x:f>DAY(EOMONTH(M$5,0))</x:f>
        <x:v>28</x:v>
      </x:c>
      <x:c r="N7" s="22" t="n">
        <x:f>DAY(EOMONTH(N$5,0))</x:f>
        <x:v>31</x:v>
      </x:c>
      <x:c r="O7" s="22" t="n">
        <x:f>DAY(EOMONTH(O$5,0))</x:f>
        <x:v>30</x:v>
      </x:c>
      <x:c r="P7" s="22" t="n">
        <x:f>DAY(EOMONTH(P$5,0))</x:f>
        <x:v>31</x:v>
      </x:c>
      <x:c r="Q7" s="22" t="n">
        <x:f>DAY(EOMONTH(Q$5,0))</x:f>
        <x:v>30</x:v>
      </x:c>
      <x:c r="R7" s="22" t="n">
        <x:f>DAY(EOMONTH(R$5,0))</x:f>
        <x:v>31</x:v>
      </x:c>
      <x:c r="S7" s="22" t="n">
        <x:f>DAY(EOMONTH(S$5,0))</x:f>
        <x:v>31</x:v>
      </x:c>
      <x:c r="T7" s="22" t="n">
        <x:f>DAY(EOMONTH(T$5,0))</x:f>
        <x:v>30</x:v>
      </x:c>
      <x:c r="U7" s="22" t="n">
        <x:f>DAY(EOMONTH(U$5,0))</x:f>
        <x:v>31</x:v>
      </x:c>
      <x:c r="V7" s="22" t="n">
        <x:f>DAY(EOMONTH(V$5,0))</x:f>
        <x:v>30</x:v>
      </x:c>
      <x:c r="W7" s="22" t="n">
        <x:f>DAY(EOMONTH(W$5,0))</x:f>
        <x:v>31</x:v>
      </x:c>
      <x:c r="X7" s="22" t="n">
        <x:f>DAY(EOMONTH(X$5,0))</x:f>
        <x:v>31</x:v>
      </x:c>
      <x:c r="Y7" s="22" t="n">
        <x:f>DAY(EOMONTH(Y$5,0))</x:f>
        <x:v>29</x:v>
      </x:c>
      <x:c r="Z7" s="22" t="n">
        <x:f>DAY(EOMONTH(Z$5,0))</x:f>
        <x:v>31</x:v>
      </x:c>
      <x:c r="AA7" s="22" t="n">
        <x:f>DAY(EOMONTH(AA$5,0))</x:f>
        <x:v>30</x:v>
      </x:c>
      <x:c r="AB7" s="22" t="n">
        <x:f>DAY(EOMONTH(AB$5,0))</x:f>
        <x:v>31</x:v>
      </x:c>
      <x:c r="AC7" s="22" t="n">
        <x:f>DAY(EOMONTH(AC$5,0))</x:f>
        <x:v>30</x:v>
      </x:c>
      <x:c r="AD7" s="22" t="n">
        <x:f>DAY(EOMONTH(AD$5,0))</x:f>
        <x:v>31</x:v>
      </x:c>
      <x:c r="AE7" s="22" t="n">
        <x:f>DAY(EOMONTH(AE$5,0))</x:f>
        <x:v>31</x:v>
      </x:c>
      <x:c r="AF7" s="22" t="n">
        <x:f>DAY(EOMONTH(AF$5,0))</x:f>
        <x:v>30</x:v>
      </x:c>
      <x:c r="AG7" s="22" t="n">
        <x:f>DAY(EOMONTH(AG$5,0))</x:f>
        <x:v>31</x:v>
      </x:c>
      <x:c r="AH7" s="22" t="n">
        <x:f>DAY(EOMONTH(AH$5,0))</x:f>
        <x:v>30</x:v>
      </x:c>
      <x:c r="AI7" s="22" t="n">
        <x:f>DAY(EOMONTH(AI$5,0))</x:f>
        <x:v>31</x:v>
      </x:c>
      <x:c r="AJ7" s="22" t="n">
        <x:f>DAY(EOMONTH(AJ$5,0))</x:f>
        <x:v>31</x:v>
      </x:c>
      <x:c r="AK7" s="22" t="n">
        <x:f>DAY(EOMONTH(AK$5,0))</x:f>
        <x:v>28</x:v>
      </x:c>
      <x:c r="AL7" s="22" t="n">
        <x:f>DAY(EOMONTH(AL$5,0))</x:f>
        <x:v>31</x:v>
      </x:c>
      <x:c r="AM7" s="22" t="n">
        <x:f>DAY(EOMONTH(AM$5,0))</x:f>
        <x:v>30</x:v>
      </x:c>
      <x:c r="AN7" s="22" t="n">
        <x:f>DAY(EOMONTH(AN$5,0))</x:f>
        <x:v>31</x:v>
      </x:c>
      <x:c r="AO7" s="22" t="n">
        <x:f>DAY(EOMONTH(AO$5,0))</x:f>
        <x:v>30</x:v>
      </x:c>
      <x:c r="AP7" s="22" t="n">
        <x:f>DAY(EOMONTH(AP$5,0))</x:f>
        <x:v>31</x:v>
      </x:c>
      <x:c r="AQ7" s="22" t="n">
        <x:f>DAY(EOMONTH(AQ$5,0))</x:f>
        <x:v>31</x:v>
      </x:c>
      <x:c r="AR7" s="22" t="n">
        <x:f>DAY(EOMONTH(AR$5,0))</x:f>
        <x:v>30</x:v>
      </x:c>
      <x:c r="AS7" s="22" t="n">
        <x:f>DAY(EOMONTH(AS$5,0))</x:f>
        <x:v>31</x:v>
      </x:c>
      <x:c r="AT7" s="22" t="n">
        <x:f>DAY(EOMONTH(AT$5,0))</x:f>
        <x:v>30</x:v>
      </x:c>
      <x:c r="AU7" s="22" t="n">
        <x:f>DAY(EOMONTH(AU$5,0))</x:f>
        <x:v>31</x:v>
      </x:c>
      <x:c r="AV7" s="22" t="n">
        <x:f>DAY(EOMONTH(AV$5,0))</x:f>
        <x:v>31</x:v>
      </x:c>
      <x:c r="AW7" s="22" t="n">
        <x:f>DAY(EOMONTH(AW$5,0))</x:f>
        <x:v>28</x:v>
      </x:c>
      <x:c r="AX7" s="22" t="n">
        <x:f>DAY(EOMONTH(AX$5,0))</x:f>
        <x:v>31</x:v>
      </x:c>
      <x:c r="AY7" s="22" t="n">
        <x:f>DAY(EOMONTH(AY$5,0))</x:f>
        <x:v>30</x:v>
      </x:c>
      <x:c r="AZ7" s="22" t="n">
        <x:f>DAY(EOMONTH(AZ$5,0))</x:f>
        <x:v>31</x:v>
      </x:c>
      <x:c r="BA7" s="22" t="n">
        <x:f>DAY(EOMONTH(BA$5,0))</x:f>
        <x:v>30</x:v>
      </x:c>
      <x:c r="BB7" s="22" t="n">
        <x:f>DAY(EOMONTH(BB$5,0))</x:f>
        <x:v>31</x:v>
      </x:c>
      <x:c r="BC7" s="22" t="n">
        <x:f>DAY(EOMONTH(BC$5,0))</x:f>
        <x:v>31</x:v>
      </x:c>
      <x:c r="BD7" s="22" t="n">
        <x:f>DAY(EOMONTH(BD$5,0))</x:f>
        <x:v>30</x:v>
      </x:c>
      <x:c r="BE7" s="22" t="n">
        <x:f>DAY(EOMONTH(BE$5,0))</x:f>
        <x:v>31</x:v>
      </x:c>
      <x:c r="BF7" s="22" t="n">
        <x:f>DAY(EOMONTH(BF$5,0))</x:f>
        <x:v>30</x:v>
      </x:c>
      <x:c r="BG7" s="22" t="n">
        <x:f>DAY(EOMONTH(BG$5,0))</x:f>
        <x:v>31</x:v>
      </x:c>
      <x:c r="BH7" s="22" t="n">
        <x:f>DAY(EOMONTH(BH$5,0))</x:f>
        <x:v>31</x:v>
      </x:c>
      <x:c r="BI7" s="22" t="n">
        <x:f>DAY(EOMONTH(BI$5,0))</x:f>
        <x:v>28</x:v>
      </x:c>
      <x:c r="BJ7" s="22" t="n">
        <x:f>DAY(EOMONTH(BJ$5,0))</x:f>
        <x:v>31</x:v>
      </x:c>
    </x:row>
    <x:row r="8">
      <x:c r="A8" s="13" t="str">
        <x:v>稼働・売上</x:v>
      </x:c>
      <x:c r="B8" s="13" t="str">
        <x:v>販売可能室数</x:v>
      </x:c>
      <x:c r="C8" s="23" t="n">
        <x:f>C6*C7</x:f>
        <x:v>570</x:v>
      </x:c>
      <x:c r="D8" s="23" t="n">
        <x:f>D6*D7</x:f>
        <x:v>589</x:v>
      </x:c>
      <x:c r="E8" s="23" t="n">
        <x:f>E6*E7</x:f>
        <x:v>570</x:v>
      </x:c>
      <x:c r="F8" s="23" t="n">
        <x:f>F6*F7</x:f>
        <x:v>589</x:v>
      </x:c>
      <x:c r="G8" s="23" t="n">
        <x:f>G6*G7</x:f>
        <x:v>589</x:v>
      </x:c>
      <x:c r="H8" s="23" t="n">
        <x:f>H6*H7</x:f>
        <x:v>570</x:v>
      </x:c>
      <x:c r="I8" s="23" t="n">
        <x:f>I6*I7</x:f>
        <x:v>589</x:v>
      </x:c>
      <x:c r="J8" s="23" t="n">
        <x:f>J6*J7</x:f>
        <x:v>570</x:v>
      </x:c>
      <x:c r="K8" s="23" t="n">
        <x:f>K6*K7</x:f>
        <x:v>589</x:v>
      </x:c>
      <x:c r="L8" s="23" t="n">
        <x:f>L6*L7</x:f>
        <x:v>589</x:v>
      </x:c>
      <x:c r="M8" s="23" t="n">
        <x:f>M6*M7</x:f>
        <x:v>532</x:v>
      </x:c>
      <x:c r="N8" s="23" t="n">
        <x:f>N6*N7</x:f>
        <x:v>589</x:v>
      </x:c>
      <x:c r="O8" s="23" t="n">
        <x:f>O6*O7</x:f>
        <x:v>570</x:v>
      </x:c>
      <x:c r="P8" s="23" t="n">
        <x:f>P6*P7</x:f>
        <x:v>589</x:v>
      </x:c>
      <x:c r="Q8" s="23" t="n">
        <x:f>Q6*Q7</x:f>
        <x:v>570</x:v>
      </x:c>
      <x:c r="R8" s="23" t="n">
        <x:f>R6*R7</x:f>
        <x:v>589</x:v>
      </x:c>
      <x:c r="S8" s="23" t="n">
        <x:f>S6*S7</x:f>
        <x:v>589</x:v>
      </x:c>
      <x:c r="T8" s="23" t="n">
        <x:f>T6*T7</x:f>
        <x:v>570</x:v>
      </x:c>
      <x:c r="U8" s="23" t="n">
        <x:f>U6*U7</x:f>
        <x:v>589</x:v>
      </x:c>
      <x:c r="V8" s="23" t="n">
        <x:f>V6*V7</x:f>
        <x:v>570</x:v>
      </x:c>
      <x:c r="W8" s="23" t="n">
        <x:f>W6*W7</x:f>
        <x:v>589</x:v>
      </x:c>
      <x:c r="X8" s="23" t="n">
        <x:f>X6*X7</x:f>
        <x:v>589</x:v>
      </x:c>
      <x:c r="Y8" s="23" t="n">
        <x:f>Y6*Y7</x:f>
        <x:v>551</x:v>
      </x:c>
      <x:c r="Z8" s="23" t="n">
        <x:f>Z6*Z7</x:f>
        <x:v>589</x:v>
      </x:c>
      <x:c r="AA8" s="23" t="n">
        <x:f>AA6*AA7</x:f>
        <x:v>570</x:v>
      </x:c>
      <x:c r="AB8" s="23" t="n">
        <x:f>AB6*AB7</x:f>
        <x:v>589</x:v>
      </x:c>
      <x:c r="AC8" s="23" t="n">
        <x:f>AC6*AC7</x:f>
        <x:v>570</x:v>
      </x:c>
      <x:c r="AD8" s="23" t="n">
        <x:f>AD6*AD7</x:f>
        <x:v>589</x:v>
      </x:c>
      <x:c r="AE8" s="23" t="n">
        <x:f>AE6*AE7</x:f>
        <x:v>589</x:v>
      </x:c>
      <x:c r="AF8" s="23" t="n">
        <x:f>AF6*AF7</x:f>
        <x:v>570</x:v>
      </x:c>
      <x:c r="AG8" s="23" t="n">
        <x:f>AG6*AG7</x:f>
        <x:v>589</x:v>
      </x:c>
      <x:c r="AH8" s="23" t="n">
        <x:f>AH6*AH7</x:f>
        <x:v>570</x:v>
      </x:c>
      <x:c r="AI8" s="23" t="n">
        <x:f>AI6*AI7</x:f>
        <x:v>589</x:v>
      </x:c>
      <x:c r="AJ8" s="23" t="n">
        <x:f>AJ6*AJ7</x:f>
        <x:v>589</x:v>
      </x:c>
      <x:c r="AK8" s="23" t="n">
        <x:f>AK6*AK7</x:f>
        <x:v>532</x:v>
      </x:c>
      <x:c r="AL8" s="23" t="n">
        <x:f>AL6*AL7</x:f>
        <x:v>589</x:v>
      </x:c>
      <x:c r="AM8" s="23" t="n">
        <x:f>AM6*AM7</x:f>
        <x:v>570</x:v>
      </x:c>
      <x:c r="AN8" s="23" t="n">
        <x:f>AN6*AN7</x:f>
        <x:v>589</x:v>
      </x:c>
      <x:c r="AO8" s="23" t="n">
        <x:f>AO6*AO7</x:f>
        <x:v>570</x:v>
      </x:c>
      <x:c r="AP8" s="23" t="n">
        <x:f>AP6*AP7</x:f>
        <x:v>589</x:v>
      </x:c>
      <x:c r="AQ8" s="23" t="n">
        <x:f>AQ6*AQ7</x:f>
        <x:v>589</x:v>
      </x:c>
      <x:c r="AR8" s="23" t="n">
        <x:f>AR6*AR7</x:f>
        <x:v>570</x:v>
      </x:c>
      <x:c r="AS8" s="23" t="n">
        <x:f>AS6*AS7</x:f>
        <x:v>589</x:v>
      </x:c>
      <x:c r="AT8" s="23" t="n">
        <x:f>AT6*AT7</x:f>
        <x:v>570</x:v>
      </x:c>
      <x:c r="AU8" s="23" t="n">
        <x:f>AU6*AU7</x:f>
        <x:v>589</x:v>
      </x:c>
      <x:c r="AV8" s="23" t="n">
        <x:f>AV6*AV7</x:f>
        <x:v>589</x:v>
      </x:c>
      <x:c r="AW8" s="23" t="n">
        <x:f>AW6*AW7</x:f>
        <x:v>532</x:v>
      </x:c>
      <x:c r="AX8" s="23" t="n">
        <x:f>AX6*AX7</x:f>
        <x:v>589</x:v>
      </x:c>
      <x:c r="AY8" s="23" t="n">
        <x:f>AY6*AY7</x:f>
        <x:v>570</x:v>
      </x:c>
      <x:c r="AZ8" s="23" t="n">
        <x:f>AZ6*AZ7</x:f>
        <x:v>589</x:v>
      </x:c>
      <x:c r="BA8" s="23" t="n">
        <x:f>BA6*BA7</x:f>
        <x:v>570</x:v>
      </x:c>
      <x:c r="BB8" s="23" t="n">
        <x:f>BB6*BB7</x:f>
        <x:v>589</x:v>
      </x:c>
      <x:c r="BC8" s="23" t="n">
        <x:f>BC6*BC7</x:f>
        <x:v>589</x:v>
      </x:c>
      <x:c r="BD8" s="23" t="n">
        <x:f>BD6*BD7</x:f>
        <x:v>570</x:v>
      </x:c>
      <x:c r="BE8" s="23" t="n">
        <x:f>BE6*BE7</x:f>
        <x:v>589</x:v>
      </x:c>
      <x:c r="BF8" s="23" t="n">
        <x:f>BF6*BF7</x:f>
        <x:v>570</x:v>
      </x:c>
      <x:c r="BG8" s="23" t="n">
        <x:f>BG6*BG7</x:f>
        <x:v>589</x:v>
      </x:c>
      <x:c r="BH8" s="23" t="n">
        <x:f>BH6*BH7</x:f>
        <x:v>589</x:v>
      </x:c>
      <x:c r="BI8" s="23" t="n">
        <x:f>BI6*BI7</x:f>
        <x:v>532</x:v>
      </x:c>
      <x:c r="BJ8" s="23" t="n">
        <x:f>BJ6*BJ7</x:f>
        <x:v>589</x:v>
      </x:c>
    </x:row>
    <x:row r="9">
      <x:c r="A9" s="13" t="str">
        <x:v>稼働・売上</x:v>
      </x:c>
      <x:c r="B9" s="13" t="str">
        <x:v>稼働率</x:v>
      </x:c>
      <x:c r="C9" s="26" t="n">
        <x:v>0.38</x:v>
      </x:c>
      <x:c r="D9" s="26" t="n">
        <x:v>0.38</x:v>
      </x:c>
      <x:c r="E9" s="26" t="n">
        <x:v>0.38</x:v>
      </x:c>
      <x:c r="F9" s="26" t="n">
        <x:v>0.68</x:v>
      </x:c>
      <x:c r="G9" s="26" t="n">
        <x:v>0.68</x:v>
      </x:c>
      <x:c r="H9" s="26" t="n">
        <x:v>0.38</x:v>
      </x:c>
      <x:c r="I9" s="26" t="n">
        <x:v>0.38</x:v>
      </x:c>
      <x:c r="J9" s="26" t="n">
        <x:v>0.38</x:v>
      </x:c>
      <x:c r="K9" s="26" t="n">
        <x:v>0.68</x:v>
      </x:c>
      <x:c r="L9" s="26" t="n">
        <x:v>0.82</x:v>
      </x:c>
      <x:c r="M9" s="26" t="n">
        <x:v>0.82</x:v>
      </x:c>
      <x:c r="N9" s="26" t="n">
        <x:v>0.5</x:v>
      </x:c>
      <x:c r="O9" s="26" t="n">
        <x:v>0.38</x:v>
      </x:c>
      <x:c r="P9" s="26" t="n">
        <x:v>0.38</x:v>
      </x:c>
      <x:c r="Q9" s="26" t="n">
        <x:v>0.38</x:v>
      </x:c>
      <x:c r="R9" s="26" t="n">
        <x:v>0.68</x:v>
      </x:c>
      <x:c r="S9" s="26" t="n">
        <x:v>0.68</x:v>
      </x:c>
      <x:c r="T9" s="26" t="n">
        <x:v>0.38</x:v>
      </x:c>
      <x:c r="U9" s="26" t="n">
        <x:v>0.38</x:v>
      </x:c>
      <x:c r="V9" s="26" t="n">
        <x:v>0.38</x:v>
      </x:c>
      <x:c r="W9" s="26" t="n">
        <x:v>0.68</x:v>
      </x:c>
      <x:c r="X9" s="26" t="n">
        <x:v>0.82</x:v>
      </x:c>
      <x:c r="Y9" s="26" t="n">
        <x:v>0.82</x:v>
      </x:c>
      <x:c r="Z9" s="26" t="n">
        <x:v>0.5</x:v>
      </x:c>
      <x:c r="AA9" s="26" t="n">
        <x:v>0.38</x:v>
      </x:c>
      <x:c r="AB9" s="26" t="n">
        <x:v>0.38</x:v>
      </x:c>
      <x:c r="AC9" s="26" t="n">
        <x:v>0.38</x:v>
      </x:c>
      <x:c r="AD9" s="26" t="n">
        <x:v>0.68</x:v>
      </x:c>
      <x:c r="AE9" s="26" t="n">
        <x:v>0.68</x:v>
      </x:c>
      <x:c r="AF9" s="26" t="n">
        <x:v>0.38</x:v>
      </x:c>
      <x:c r="AG9" s="26" t="n">
        <x:v>0.38</x:v>
      </x:c>
      <x:c r="AH9" s="26" t="n">
        <x:v>0.38</x:v>
      </x:c>
      <x:c r="AI9" s="26" t="n">
        <x:v>0.68</x:v>
      </x:c>
      <x:c r="AJ9" s="26" t="n">
        <x:v>0.82</x:v>
      </x:c>
      <x:c r="AK9" s="26" t="n">
        <x:v>0.82</x:v>
      </x:c>
      <x:c r="AL9" s="26" t="n">
        <x:v>0.5</x:v>
      </x:c>
      <x:c r="AM9" s="26" t="n">
        <x:v>0.38</x:v>
      </x:c>
      <x:c r="AN9" s="26" t="n">
        <x:v>0.38</x:v>
      </x:c>
      <x:c r="AO9" s="26" t="n">
        <x:v>0.38</x:v>
      </x:c>
      <x:c r="AP9" s="26" t="n">
        <x:v>0.68</x:v>
      </x:c>
      <x:c r="AQ9" s="26" t="n">
        <x:v>0.68</x:v>
      </x:c>
      <x:c r="AR9" s="26" t="n">
        <x:v>0.38</x:v>
      </x:c>
      <x:c r="AS9" s="26" t="n">
        <x:v>0.38</x:v>
      </x:c>
      <x:c r="AT9" s="26" t="n">
        <x:v>0.38</x:v>
      </x:c>
      <x:c r="AU9" s="26" t="n">
        <x:v>0.68</x:v>
      </x:c>
      <x:c r="AV9" s="26" t="n">
        <x:v>0.82</x:v>
      </x:c>
      <x:c r="AW9" s="26" t="n">
        <x:v>0.82</x:v>
      </x:c>
      <x:c r="AX9" s="26" t="n">
        <x:v>0.5</x:v>
      </x:c>
      <x:c r="AY9" s="26" t="n">
        <x:v>0.38</x:v>
      </x:c>
      <x:c r="AZ9" s="26" t="n">
        <x:v>0.38</x:v>
      </x:c>
      <x:c r="BA9" s="26" t="n">
        <x:v>0.38</x:v>
      </x:c>
      <x:c r="BB9" s="26" t="n">
        <x:v>0.68</x:v>
      </x:c>
      <x:c r="BC9" s="26" t="n">
        <x:v>0.68</x:v>
      </x:c>
      <x:c r="BD9" s="26" t="n">
        <x:v>0.38</x:v>
      </x:c>
      <x:c r="BE9" s="26" t="n">
        <x:v>0.38</x:v>
      </x:c>
      <x:c r="BF9" s="26" t="n">
        <x:v>0.38</x:v>
      </x:c>
      <x:c r="BG9" s="26" t="n">
        <x:v>0.68</x:v>
      </x:c>
      <x:c r="BH9" s="26" t="n">
        <x:v>0.82</x:v>
      </x:c>
      <x:c r="BI9" s="26" t="n">
        <x:v>0.82</x:v>
      </x:c>
      <x:c r="BJ9" s="26" t="n">
        <x:v>0.5</x:v>
      </x:c>
    </x:row>
    <x:row r="10">
      <x:c r="A10" s="13" t="str">
        <x:v>稼働・売上</x:v>
      </x:c>
      <x:c r="B10" s="13" t="str">
        <x:v>販売室数</x:v>
      </x:c>
      <x:c r="C10" s="23" t="n">
        <x:f>C8*C9</x:f>
        <x:v>216.6</x:v>
      </x:c>
      <x:c r="D10" s="23" t="n">
        <x:f>D8*D9</x:f>
        <x:v>223.82</x:v>
      </x:c>
      <x:c r="E10" s="23" t="n">
        <x:f>E8*E9</x:f>
        <x:v>216.6</x:v>
      </x:c>
      <x:c r="F10" s="23" t="n">
        <x:f>F8*F9</x:f>
        <x:v>400.52000000000004</x:v>
      </x:c>
      <x:c r="G10" s="23" t="n">
        <x:f>G8*G9</x:f>
        <x:v>400.52000000000004</x:v>
      </x:c>
      <x:c r="H10" s="23" t="n">
        <x:f>H8*H9</x:f>
        <x:v>216.6</x:v>
      </x:c>
      <x:c r="I10" s="23" t="n">
        <x:f>I8*I9</x:f>
        <x:v>223.82</x:v>
      </x:c>
      <x:c r="J10" s="23" t="n">
        <x:f>J8*J9</x:f>
        <x:v>216.6</x:v>
      </x:c>
      <x:c r="K10" s="23" t="n">
        <x:f>K8*K9</x:f>
        <x:v>400.52000000000004</x:v>
      </x:c>
      <x:c r="L10" s="23" t="n">
        <x:f>L8*L9</x:f>
        <x:v>482.97999999999996</x:v>
      </x:c>
      <x:c r="M10" s="23" t="n">
        <x:f>M8*M9</x:f>
        <x:v>436.23999999999995</x:v>
      </x:c>
      <x:c r="N10" s="23" t="n">
        <x:f>N8*N9</x:f>
        <x:v>294.5</x:v>
      </x:c>
      <x:c r="O10" s="23" t="n">
        <x:f>O8*O9</x:f>
        <x:v>216.6</x:v>
      </x:c>
      <x:c r="P10" s="23" t="n">
        <x:f>P8*P9</x:f>
        <x:v>223.82</x:v>
      </x:c>
      <x:c r="Q10" s="23" t="n">
        <x:f>Q8*Q9</x:f>
        <x:v>216.6</x:v>
      </x:c>
      <x:c r="R10" s="23" t="n">
        <x:f>R8*R9</x:f>
        <x:v>400.52000000000004</x:v>
      </x:c>
      <x:c r="S10" s="23" t="n">
        <x:f>S8*S9</x:f>
        <x:v>400.52000000000004</x:v>
      </x:c>
      <x:c r="T10" s="23" t="n">
        <x:f>T8*T9</x:f>
        <x:v>216.6</x:v>
      </x:c>
      <x:c r="U10" s="23" t="n">
        <x:f>U8*U9</x:f>
        <x:v>223.82</x:v>
      </x:c>
      <x:c r="V10" s="23" t="n">
        <x:f>V8*V9</x:f>
        <x:v>216.6</x:v>
      </x:c>
      <x:c r="W10" s="23" t="n">
        <x:f>W8*W9</x:f>
        <x:v>400.52000000000004</x:v>
      </x:c>
      <x:c r="X10" s="23" t="n">
        <x:f>X8*X9</x:f>
        <x:v>482.97999999999996</x:v>
      </x:c>
      <x:c r="Y10" s="23" t="n">
        <x:f>Y8*Y9</x:f>
        <x:v>451.82</x:v>
      </x:c>
      <x:c r="Z10" s="23" t="n">
        <x:f>Z8*Z9</x:f>
        <x:v>294.5</x:v>
      </x:c>
      <x:c r="AA10" s="23" t="n">
        <x:f>AA8*AA9</x:f>
        <x:v>216.6</x:v>
      </x:c>
      <x:c r="AB10" s="23" t="n">
        <x:f>AB8*AB9</x:f>
        <x:v>223.82</x:v>
      </x:c>
      <x:c r="AC10" s="23" t="n">
        <x:f>AC8*AC9</x:f>
        <x:v>216.6</x:v>
      </x:c>
      <x:c r="AD10" s="23" t="n">
        <x:f>AD8*AD9</x:f>
        <x:v>400.52000000000004</x:v>
      </x:c>
      <x:c r="AE10" s="23" t="n">
        <x:f>AE8*AE9</x:f>
        <x:v>400.52000000000004</x:v>
      </x:c>
      <x:c r="AF10" s="23" t="n">
        <x:f>AF8*AF9</x:f>
        <x:v>216.6</x:v>
      </x:c>
      <x:c r="AG10" s="23" t="n">
        <x:f>AG8*AG9</x:f>
        <x:v>223.82</x:v>
      </x:c>
      <x:c r="AH10" s="23" t="n">
        <x:f>AH8*AH9</x:f>
        <x:v>216.6</x:v>
      </x:c>
      <x:c r="AI10" s="23" t="n">
        <x:f>AI8*AI9</x:f>
        <x:v>400.52000000000004</x:v>
      </x:c>
      <x:c r="AJ10" s="23" t="n">
        <x:f>AJ8*AJ9</x:f>
        <x:v>482.97999999999996</x:v>
      </x:c>
      <x:c r="AK10" s="23" t="n">
        <x:f>AK8*AK9</x:f>
        <x:v>436.23999999999995</x:v>
      </x:c>
      <x:c r="AL10" s="23" t="n">
        <x:f>AL8*AL9</x:f>
        <x:v>294.5</x:v>
      </x:c>
      <x:c r="AM10" s="23" t="n">
        <x:f>AM8*AM9</x:f>
        <x:v>216.6</x:v>
      </x:c>
      <x:c r="AN10" s="23" t="n">
        <x:f>AN8*AN9</x:f>
        <x:v>223.82</x:v>
      </x:c>
      <x:c r="AO10" s="23" t="n">
        <x:f>AO8*AO9</x:f>
        <x:v>216.6</x:v>
      </x:c>
      <x:c r="AP10" s="23" t="n">
        <x:f>AP8*AP9</x:f>
        <x:v>400.52000000000004</x:v>
      </x:c>
      <x:c r="AQ10" s="23" t="n">
        <x:f>AQ8*AQ9</x:f>
        <x:v>400.52000000000004</x:v>
      </x:c>
      <x:c r="AR10" s="23" t="n">
        <x:f>AR8*AR9</x:f>
        <x:v>216.6</x:v>
      </x:c>
      <x:c r="AS10" s="23" t="n">
        <x:f>AS8*AS9</x:f>
        <x:v>223.82</x:v>
      </x:c>
      <x:c r="AT10" s="23" t="n">
        <x:f>AT8*AT9</x:f>
        <x:v>216.6</x:v>
      </x:c>
      <x:c r="AU10" s="23" t="n">
        <x:f>AU8*AU9</x:f>
        <x:v>400.52000000000004</x:v>
      </x:c>
      <x:c r="AV10" s="23" t="n">
        <x:f>AV8*AV9</x:f>
        <x:v>482.97999999999996</x:v>
      </x:c>
      <x:c r="AW10" s="23" t="n">
        <x:f>AW8*AW9</x:f>
        <x:v>436.23999999999995</x:v>
      </x:c>
      <x:c r="AX10" s="23" t="n">
        <x:f>AX8*AX9</x:f>
        <x:v>294.5</x:v>
      </x:c>
      <x:c r="AY10" s="23" t="n">
        <x:f>AY8*AY9</x:f>
        <x:v>216.6</x:v>
      </x:c>
      <x:c r="AZ10" s="23" t="n">
        <x:f>AZ8*AZ9</x:f>
        <x:v>223.82</x:v>
      </x:c>
      <x:c r="BA10" s="23" t="n">
        <x:f>BA8*BA9</x:f>
        <x:v>216.6</x:v>
      </x:c>
      <x:c r="BB10" s="23" t="n">
        <x:f>BB8*BB9</x:f>
        <x:v>400.52000000000004</x:v>
      </x:c>
      <x:c r="BC10" s="23" t="n">
        <x:f>BC8*BC9</x:f>
        <x:v>400.52000000000004</x:v>
      </x:c>
      <x:c r="BD10" s="23" t="n">
        <x:f>BD8*BD9</x:f>
        <x:v>216.6</x:v>
      </x:c>
      <x:c r="BE10" s="23" t="n">
        <x:f>BE8*BE9</x:f>
        <x:v>223.82</x:v>
      </x:c>
      <x:c r="BF10" s="23" t="n">
        <x:f>BF8*BF9</x:f>
        <x:v>216.6</x:v>
      </x:c>
      <x:c r="BG10" s="23" t="n">
        <x:f>BG8*BG9</x:f>
        <x:v>400.52000000000004</x:v>
      </x:c>
      <x:c r="BH10" s="23" t="n">
        <x:f>BH8*BH9</x:f>
        <x:v>482.97999999999996</x:v>
      </x:c>
      <x:c r="BI10" s="23" t="n">
        <x:f>BI8*BI9</x:f>
        <x:v>436.23999999999995</x:v>
      </x:c>
      <x:c r="BJ10" s="23" t="n">
        <x:f>BJ8*BJ9</x:f>
        <x:v>294.5</x:v>
      </x:c>
    </x:row>
    <x:row r="11">
      <x:c r="A11" s="13" t="str">
        <x:v>稼働・売上</x:v>
      </x:c>
      <x:c r="B11" s="13" t="str">
        <x:v>ADR</x:v>
      </x:c>
      <x:c r="C11" s="22" t="n">
        <x:v>11500</x:v>
      </x:c>
      <x:c r="D11" s="22" t="n">
        <x:v>11500</x:v>
      </x:c>
      <x:c r="E11" s="22" t="n">
        <x:v>11500</x:v>
      </x:c>
      <x:c r="F11" s="22" t="n">
        <x:v>15000</x:v>
      </x:c>
      <x:c r="G11" s="22" t="n">
        <x:v>15000</x:v>
      </x:c>
      <x:c r="H11" s="22" t="n">
        <x:v>11500</x:v>
      </x:c>
      <x:c r="I11" s="22" t="n">
        <x:v>11500</x:v>
      </x:c>
      <x:c r="J11" s="22" t="n">
        <x:v>11500</x:v>
      </x:c>
      <x:c r="K11" s="22" t="n">
        <x:v>15000</x:v>
      </x:c>
      <x:c r="L11" s="22" t="n">
        <x:v>18500</x:v>
      </x:c>
      <x:c r="M11" s="22" t="n">
        <x:v>18500</x:v>
      </x:c>
      <x:c r="N11" s="22" t="n">
        <x:v>11500</x:v>
      </x:c>
      <x:c r="O11" s="22" t="n">
        <x:v>11500</x:v>
      </x:c>
      <x:c r="P11" s="22" t="n">
        <x:v>11500</x:v>
      </x:c>
      <x:c r="Q11" s="22" t="n">
        <x:v>11500</x:v>
      </x:c>
      <x:c r="R11" s="22" t="n">
        <x:v>15000</x:v>
      </x:c>
      <x:c r="S11" s="22" t="n">
        <x:v>15000</x:v>
      </x:c>
      <x:c r="T11" s="22" t="n">
        <x:v>11500</x:v>
      </x:c>
      <x:c r="U11" s="22" t="n">
        <x:v>11500</x:v>
      </x:c>
      <x:c r="V11" s="22" t="n">
        <x:v>11500</x:v>
      </x:c>
      <x:c r="W11" s="22" t="n">
        <x:v>15000</x:v>
      </x:c>
      <x:c r="X11" s="22" t="n">
        <x:v>18500</x:v>
      </x:c>
      <x:c r="Y11" s="22" t="n">
        <x:v>18500</x:v>
      </x:c>
      <x:c r="Z11" s="22" t="n">
        <x:v>11500</x:v>
      </x:c>
      <x:c r="AA11" s="22" t="n">
        <x:v>11500</x:v>
      </x:c>
      <x:c r="AB11" s="22" t="n">
        <x:v>11500</x:v>
      </x:c>
      <x:c r="AC11" s="22" t="n">
        <x:v>11500</x:v>
      </x:c>
      <x:c r="AD11" s="22" t="n">
        <x:v>15000</x:v>
      </x:c>
      <x:c r="AE11" s="22" t="n">
        <x:v>15000</x:v>
      </x:c>
      <x:c r="AF11" s="22" t="n">
        <x:v>11500</x:v>
      </x:c>
      <x:c r="AG11" s="22" t="n">
        <x:v>11500</x:v>
      </x:c>
      <x:c r="AH11" s="22" t="n">
        <x:v>11500</x:v>
      </x:c>
      <x:c r="AI11" s="22" t="n">
        <x:v>15000</x:v>
      </x:c>
      <x:c r="AJ11" s="22" t="n">
        <x:v>18500</x:v>
      </x:c>
      <x:c r="AK11" s="22" t="n">
        <x:v>18500</x:v>
      </x:c>
      <x:c r="AL11" s="22" t="n">
        <x:v>11500</x:v>
      </x:c>
      <x:c r="AM11" s="22" t="n">
        <x:v>11500</x:v>
      </x:c>
      <x:c r="AN11" s="22" t="n">
        <x:v>11500</x:v>
      </x:c>
      <x:c r="AO11" s="22" t="n">
        <x:v>11500</x:v>
      </x:c>
      <x:c r="AP11" s="22" t="n">
        <x:v>15000</x:v>
      </x:c>
      <x:c r="AQ11" s="22" t="n">
        <x:v>15000</x:v>
      </x:c>
      <x:c r="AR11" s="22" t="n">
        <x:v>11500</x:v>
      </x:c>
      <x:c r="AS11" s="22" t="n">
        <x:v>11500</x:v>
      </x:c>
      <x:c r="AT11" s="22" t="n">
        <x:v>11500</x:v>
      </x:c>
      <x:c r="AU11" s="22" t="n">
        <x:v>15000</x:v>
      </x:c>
      <x:c r="AV11" s="22" t="n">
        <x:v>18500</x:v>
      </x:c>
      <x:c r="AW11" s="22" t="n">
        <x:v>18500</x:v>
      </x:c>
      <x:c r="AX11" s="22" t="n">
        <x:v>11500</x:v>
      </x:c>
      <x:c r="AY11" s="22" t="n">
        <x:v>11500</x:v>
      </x:c>
      <x:c r="AZ11" s="22" t="n">
        <x:v>11500</x:v>
      </x:c>
      <x:c r="BA11" s="22" t="n">
        <x:v>11500</x:v>
      </x:c>
      <x:c r="BB11" s="22" t="n">
        <x:v>15000</x:v>
      </x:c>
      <x:c r="BC11" s="22" t="n">
        <x:v>15000</x:v>
      </x:c>
      <x:c r="BD11" s="22" t="n">
        <x:v>11500</x:v>
      </x:c>
      <x:c r="BE11" s="22" t="n">
        <x:v>11500</x:v>
      </x:c>
      <x:c r="BF11" s="22" t="n">
        <x:v>11500</x:v>
      </x:c>
      <x:c r="BG11" s="22" t="n">
        <x:v>15000</x:v>
      </x:c>
      <x:c r="BH11" s="22" t="n">
        <x:v>18500</x:v>
      </x:c>
      <x:c r="BI11" s="22" t="n">
        <x:v>18500</x:v>
      </x:c>
      <x:c r="BJ11" s="22" t="n">
        <x:v>11500</x:v>
      </x:c>
    </x:row>
    <x:row r="12">
      <x:c r="A12" s="13" t="str">
        <x:v>稼働・売上</x:v>
      </x:c>
      <x:c r="B12" s="13" t="str">
        <x:v>宿泊売上</x:v>
      </x:c>
      <x:c r="C12" s="23" t="n">
        <x:f>C10*C11/1000</x:f>
        <x:v>2490.9</x:v>
      </x:c>
      <x:c r="D12" s="23" t="n">
        <x:f>D10*D11/1000</x:f>
        <x:v>2573.93</x:v>
      </x:c>
      <x:c r="E12" s="23" t="n">
        <x:f>E10*E11/1000</x:f>
        <x:v>2490.9</x:v>
      </x:c>
      <x:c r="F12" s="23" t="n">
        <x:f>F10*F11/1000</x:f>
        <x:v>6007.800000000001</x:v>
      </x:c>
      <x:c r="G12" s="23" t="n">
        <x:f>G10*G11/1000</x:f>
        <x:v>6007.800000000001</x:v>
      </x:c>
      <x:c r="H12" s="23" t="n">
        <x:f>H10*H11/1000</x:f>
        <x:v>2490.9</x:v>
      </x:c>
      <x:c r="I12" s="23" t="n">
        <x:f>I10*I11/1000</x:f>
        <x:v>2573.93</x:v>
      </x:c>
      <x:c r="J12" s="23" t="n">
        <x:f>J10*J11/1000</x:f>
        <x:v>2490.9</x:v>
      </x:c>
      <x:c r="K12" s="23" t="n">
        <x:f>K10*K11/1000</x:f>
        <x:v>6007.800000000001</x:v>
      </x:c>
      <x:c r="L12" s="23" t="n">
        <x:f>L10*L11/1000</x:f>
        <x:v>8935.13</x:v>
      </x:c>
      <x:c r="M12" s="23" t="n">
        <x:f>M10*M11/1000</x:f>
        <x:v>8070.439999999999</x:v>
      </x:c>
      <x:c r="N12" s="23" t="n">
        <x:f>N10*N11/1000</x:f>
        <x:v>3386.75</x:v>
      </x:c>
      <x:c r="O12" s="23" t="n">
        <x:f>O10*O11/1000</x:f>
        <x:v>2490.9</x:v>
      </x:c>
      <x:c r="P12" s="23" t="n">
        <x:f>P10*P11/1000</x:f>
        <x:v>2573.93</x:v>
      </x:c>
      <x:c r="Q12" s="23" t="n">
        <x:f>Q10*Q11/1000</x:f>
        <x:v>2490.9</x:v>
      </x:c>
      <x:c r="R12" s="23" t="n">
        <x:f>R10*R11/1000</x:f>
        <x:v>6007.800000000001</x:v>
      </x:c>
      <x:c r="S12" s="23" t="n">
        <x:f>S10*S11/1000</x:f>
        <x:v>6007.800000000001</x:v>
      </x:c>
      <x:c r="T12" s="23" t="n">
        <x:f>T10*T11/1000</x:f>
        <x:v>2490.9</x:v>
      </x:c>
      <x:c r="U12" s="23" t="n">
        <x:f>U10*U11/1000</x:f>
        <x:v>2573.93</x:v>
      </x:c>
      <x:c r="V12" s="23" t="n">
        <x:f>V10*V11/1000</x:f>
        <x:v>2490.9</x:v>
      </x:c>
      <x:c r="W12" s="23" t="n">
        <x:f>W10*W11/1000</x:f>
        <x:v>6007.800000000001</x:v>
      </x:c>
      <x:c r="X12" s="23" t="n">
        <x:f>X10*X11/1000</x:f>
        <x:v>8935.13</x:v>
      </x:c>
      <x:c r="Y12" s="23" t="n">
        <x:f>Y10*Y11/1000</x:f>
        <x:v>8358.67</x:v>
      </x:c>
      <x:c r="Z12" s="23" t="n">
        <x:f>Z10*Z11/1000</x:f>
        <x:v>3386.75</x:v>
      </x:c>
      <x:c r="AA12" s="23" t="n">
        <x:f>AA10*AA11/1000</x:f>
        <x:v>2490.9</x:v>
      </x:c>
      <x:c r="AB12" s="23" t="n">
        <x:f>AB10*AB11/1000</x:f>
        <x:v>2573.93</x:v>
      </x:c>
      <x:c r="AC12" s="23" t="n">
        <x:f>AC10*AC11/1000</x:f>
        <x:v>2490.9</x:v>
      </x:c>
      <x:c r="AD12" s="23" t="n">
        <x:f>AD10*AD11/1000</x:f>
        <x:v>6007.800000000001</x:v>
      </x:c>
      <x:c r="AE12" s="23" t="n">
        <x:f>AE10*AE11/1000</x:f>
        <x:v>6007.800000000001</x:v>
      </x:c>
      <x:c r="AF12" s="23" t="n">
        <x:f>AF10*AF11/1000</x:f>
        <x:v>2490.9</x:v>
      </x:c>
      <x:c r="AG12" s="23" t="n">
        <x:f>AG10*AG11/1000</x:f>
        <x:v>2573.93</x:v>
      </x:c>
      <x:c r="AH12" s="23" t="n">
        <x:f>AH10*AH11/1000</x:f>
        <x:v>2490.9</x:v>
      </x:c>
      <x:c r="AI12" s="23" t="n">
        <x:f>AI10*AI11/1000</x:f>
        <x:v>6007.800000000001</x:v>
      </x:c>
      <x:c r="AJ12" s="23" t="n">
        <x:f>AJ10*AJ11/1000</x:f>
        <x:v>8935.13</x:v>
      </x:c>
      <x:c r="AK12" s="23" t="n">
        <x:f>AK10*AK11/1000</x:f>
        <x:v>8070.439999999999</x:v>
      </x:c>
      <x:c r="AL12" s="23" t="n">
        <x:f>AL10*AL11/1000</x:f>
        <x:v>3386.75</x:v>
      </x:c>
      <x:c r="AM12" s="23" t="n">
        <x:f>AM10*AM11/1000</x:f>
        <x:v>2490.9</x:v>
      </x:c>
      <x:c r="AN12" s="23" t="n">
        <x:f>AN10*AN11/1000</x:f>
        <x:v>2573.93</x:v>
      </x:c>
      <x:c r="AO12" s="23" t="n">
        <x:f>AO10*AO11/1000</x:f>
        <x:v>2490.9</x:v>
      </x:c>
      <x:c r="AP12" s="23" t="n">
        <x:f>AP10*AP11/1000</x:f>
        <x:v>6007.800000000001</x:v>
      </x:c>
      <x:c r="AQ12" s="23" t="n">
        <x:f>AQ10*AQ11/1000</x:f>
        <x:v>6007.800000000001</x:v>
      </x:c>
      <x:c r="AR12" s="23" t="n">
        <x:f>AR10*AR11/1000</x:f>
        <x:v>2490.9</x:v>
      </x:c>
      <x:c r="AS12" s="23" t="n">
        <x:f>AS10*AS11/1000</x:f>
        <x:v>2573.93</x:v>
      </x:c>
      <x:c r="AT12" s="23" t="n">
        <x:f>AT10*AT11/1000</x:f>
        <x:v>2490.9</x:v>
      </x:c>
      <x:c r="AU12" s="23" t="n">
        <x:f>AU10*AU11/1000</x:f>
        <x:v>6007.800000000001</x:v>
      </x:c>
      <x:c r="AV12" s="23" t="n">
        <x:f>AV10*AV11/1000</x:f>
        <x:v>8935.13</x:v>
      </x:c>
      <x:c r="AW12" s="23" t="n">
        <x:f>AW10*AW11/1000</x:f>
        <x:v>8070.439999999999</x:v>
      </x:c>
      <x:c r="AX12" s="23" t="n">
        <x:f>AX10*AX11/1000</x:f>
        <x:v>3386.75</x:v>
      </x:c>
      <x:c r="AY12" s="23" t="n">
        <x:f>AY10*AY11/1000</x:f>
        <x:v>2490.9</x:v>
      </x:c>
      <x:c r="AZ12" s="23" t="n">
        <x:f>AZ10*AZ11/1000</x:f>
        <x:v>2573.93</x:v>
      </x:c>
      <x:c r="BA12" s="23" t="n">
        <x:f>BA10*BA11/1000</x:f>
        <x:v>2490.9</x:v>
      </x:c>
      <x:c r="BB12" s="23" t="n">
        <x:f>BB10*BB11/1000</x:f>
        <x:v>6007.800000000001</x:v>
      </x:c>
      <x:c r="BC12" s="23" t="n">
        <x:f>BC10*BC11/1000</x:f>
        <x:v>6007.800000000001</x:v>
      </x:c>
      <x:c r="BD12" s="23" t="n">
        <x:f>BD10*BD11/1000</x:f>
        <x:v>2490.9</x:v>
      </x:c>
      <x:c r="BE12" s="23" t="n">
        <x:f>BE10*BE11/1000</x:f>
        <x:v>2573.93</x:v>
      </x:c>
      <x:c r="BF12" s="23" t="n">
        <x:f>BF10*BF11/1000</x:f>
        <x:v>2490.9</x:v>
      </x:c>
      <x:c r="BG12" s="23" t="n">
        <x:f>BG10*BG11/1000</x:f>
        <x:v>6007.800000000001</x:v>
      </x:c>
      <x:c r="BH12" s="23" t="n">
        <x:f>BH10*BH11/1000</x:f>
        <x:v>8935.13</x:v>
      </x:c>
      <x:c r="BI12" s="23" t="n">
        <x:f>BI10*BI11/1000</x:f>
        <x:v>8070.439999999999</x:v>
      </x:c>
      <x:c r="BJ12" s="23" t="n">
        <x:f>BJ10*BJ11/1000</x:f>
        <x:v>3386.75</x:v>
      </x:c>
    </x:row>
    <x:row r="13">
      <x:c r="A13" s="13" t="str">
        <x:v>稼働・売上</x:v>
      </x:c>
      <x:c r="B13" s="13" t="str">
        <x:v>その他売上</x:v>
      </x:c>
      <x:c r="C13" s="22" t="n">
        <x:v>0</x:v>
      </x:c>
      <x:c r="D13" s="22" t="n">
        <x:v>0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0</x:v>
      </x:c>
      <x:c r="N13" s="22" t="n">
        <x:v>0</x:v>
      </x:c>
      <x:c r="O13" s="22" t="n">
        <x:v>0</x:v>
      </x:c>
      <x:c r="P13" s="22" t="n">
        <x:v>0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0</x:v>
      </x:c>
      <x:c r="X13" s="22" t="n">
        <x:v>0</x:v>
      </x:c>
      <x:c r="Y13" s="22" t="n">
        <x:v>0</x:v>
      </x:c>
      <x:c r="Z13" s="22" t="n">
        <x:v>0</x:v>
      </x:c>
      <x:c r="AA13" s="22" t="n">
        <x:v>0</x:v>
      </x:c>
      <x:c r="AB13" s="22" t="n">
        <x:v>0</x:v>
      </x:c>
      <x:c r="AC13" s="22" t="n">
        <x:v>0</x:v>
      </x:c>
      <x:c r="AD13" s="22" t="n">
        <x:v>0</x:v>
      </x:c>
      <x:c r="AE13" s="22" t="n">
        <x:v>0</x:v>
      </x:c>
      <x:c r="AF13" s="22" t="n">
        <x:v>0</x:v>
      </x:c>
      <x:c r="AG13" s="22" t="n">
        <x:v>0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0</x:v>
      </x:c>
      <x:c r="AQ13" s="22" t="n">
        <x:v>0</x:v>
      </x:c>
      <x:c r="AR13" s="22" t="n">
        <x:v>0</x:v>
      </x:c>
      <x:c r="AS13" s="22" t="n">
        <x:v>0</x:v>
      </x:c>
      <x:c r="AT13" s="22" t="n">
        <x:v>0</x:v>
      </x:c>
      <x:c r="AU13" s="22" t="n">
        <x:v>0</x:v>
      </x:c>
      <x:c r="AV13" s="22" t="n">
        <x:v>0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</x:row>
    <x:row r="14">
      <x:c r="A14" s="13" t="str">
        <x:v>稼働・売上</x:v>
      </x:c>
      <x:c r="B14" s="13" t="str">
        <x:v>売上高合計</x:v>
      </x:c>
      <x:c r="C14" s="23" t="n">
        <x:f>SUM(C12:C13)</x:f>
        <x:v>2490.9</x:v>
      </x:c>
      <x:c r="D14" s="23" t="n">
        <x:f>SUM(D12:D13)</x:f>
        <x:v>2573.93</x:v>
      </x:c>
      <x:c r="E14" s="23" t="n">
        <x:f>SUM(E12:E13)</x:f>
        <x:v>2490.9</x:v>
      </x:c>
      <x:c r="F14" s="23" t="n">
        <x:f>SUM(F12:F13)</x:f>
        <x:v>6007.800000000001</x:v>
      </x:c>
      <x:c r="G14" s="23" t="n">
        <x:f>SUM(G12:G13)</x:f>
        <x:v>6007.800000000001</x:v>
      </x:c>
      <x:c r="H14" s="23" t="n">
        <x:f>SUM(H12:H13)</x:f>
        <x:v>2490.9</x:v>
      </x:c>
      <x:c r="I14" s="23" t="n">
        <x:f>SUM(I12:I13)</x:f>
        <x:v>2573.93</x:v>
      </x:c>
      <x:c r="J14" s="23" t="n">
        <x:f>SUM(J12:J13)</x:f>
        <x:v>2490.9</x:v>
      </x:c>
      <x:c r="K14" s="23" t="n">
        <x:f>SUM(K12:K13)</x:f>
        <x:v>6007.800000000001</x:v>
      </x:c>
      <x:c r="L14" s="23" t="n">
        <x:f>SUM(L12:L13)</x:f>
        <x:v>8935.13</x:v>
      </x:c>
      <x:c r="M14" s="23" t="n">
        <x:f>SUM(M12:M13)</x:f>
        <x:v>8070.439999999999</x:v>
      </x:c>
      <x:c r="N14" s="23" t="n">
        <x:f>SUM(N12:N13)</x:f>
        <x:v>3386.75</x:v>
      </x:c>
      <x:c r="O14" s="23" t="n">
        <x:f>SUM(O12:O13)</x:f>
        <x:v>2490.9</x:v>
      </x:c>
      <x:c r="P14" s="23" t="n">
        <x:f>SUM(P12:P13)</x:f>
        <x:v>2573.93</x:v>
      </x:c>
      <x:c r="Q14" s="23" t="n">
        <x:f>SUM(Q12:Q13)</x:f>
        <x:v>2490.9</x:v>
      </x:c>
      <x:c r="R14" s="23" t="n">
        <x:f>SUM(R12:R13)</x:f>
        <x:v>6007.800000000001</x:v>
      </x:c>
      <x:c r="S14" s="23" t="n">
        <x:f>SUM(S12:S13)</x:f>
        <x:v>6007.800000000001</x:v>
      </x:c>
      <x:c r="T14" s="23" t="n">
        <x:f>SUM(T12:T13)</x:f>
        <x:v>2490.9</x:v>
      </x:c>
      <x:c r="U14" s="23" t="n">
        <x:f>SUM(U12:U13)</x:f>
        <x:v>2573.93</x:v>
      </x:c>
      <x:c r="V14" s="23" t="n">
        <x:f>SUM(V12:V13)</x:f>
        <x:v>2490.9</x:v>
      </x:c>
      <x:c r="W14" s="23" t="n">
        <x:f>SUM(W12:W13)</x:f>
        <x:v>6007.800000000001</x:v>
      </x:c>
      <x:c r="X14" s="23" t="n">
        <x:f>SUM(X12:X13)</x:f>
        <x:v>8935.13</x:v>
      </x:c>
      <x:c r="Y14" s="23" t="n">
        <x:f>SUM(Y12:Y13)</x:f>
        <x:v>8358.67</x:v>
      </x:c>
      <x:c r="Z14" s="23" t="n">
        <x:f>SUM(Z12:Z13)</x:f>
        <x:v>3386.75</x:v>
      </x:c>
      <x:c r="AA14" s="23" t="n">
        <x:f>SUM(AA12:AA13)</x:f>
        <x:v>2490.9</x:v>
      </x:c>
      <x:c r="AB14" s="23" t="n">
        <x:f>SUM(AB12:AB13)</x:f>
        <x:v>2573.93</x:v>
      </x:c>
      <x:c r="AC14" s="23" t="n">
        <x:f>SUM(AC12:AC13)</x:f>
        <x:v>2490.9</x:v>
      </x:c>
      <x:c r="AD14" s="23" t="n">
        <x:f>SUM(AD12:AD13)</x:f>
        <x:v>6007.800000000001</x:v>
      </x:c>
      <x:c r="AE14" s="23" t="n">
        <x:f>SUM(AE12:AE13)</x:f>
        <x:v>6007.800000000001</x:v>
      </x:c>
      <x:c r="AF14" s="23" t="n">
        <x:f>SUM(AF12:AF13)</x:f>
        <x:v>2490.9</x:v>
      </x:c>
      <x:c r="AG14" s="23" t="n">
        <x:f>SUM(AG12:AG13)</x:f>
        <x:v>2573.93</x:v>
      </x:c>
      <x:c r="AH14" s="23" t="n">
        <x:f>SUM(AH12:AH13)</x:f>
        <x:v>2490.9</x:v>
      </x:c>
      <x:c r="AI14" s="23" t="n">
        <x:f>SUM(AI12:AI13)</x:f>
        <x:v>6007.800000000001</x:v>
      </x:c>
      <x:c r="AJ14" s="23" t="n">
        <x:f>SUM(AJ12:AJ13)</x:f>
        <x:v>8935.13</x:v>
      </x:c>
      <x:c r="AK14" s="23" t="n">
        <x:f>SUM(AK12:AK13)</x:f>
        <x:v>8070.439999999999</x:v>
      </x:c>
      <x:c r="AL14" s="23" t="n">
        <x:f>SUM(AL12:AL13)</x:f>
        <x:v>3386.75</x:v>
      </x:c>
      <x:c r="AM14" s="23" t="n">
        <x:f>SUM(AM12:AM13)</x:f>
        <x:v>2490.9</x:v>
      </x:c>
      <x:c r="AN14" s="23" t="n">
        <x:f>SUM(AN12:AN13)</x:f>
        <x:v>2573.93</x:v>
      </x:c>
      <x:c r="AO14" s="23" t="n">
        <x:f>SUM(AO12:AO13)</x:f>
        <x:v>2490.9</x:v>
      </x:c>
      <x:c r="AP14" s="23" t="n">
        <x:f>SUM(AP12:AP13)</x:f>
        <x:v>6007.800000000001</x:v>
      </x:c>
      <x:c r="AQ14" s="23" t="n">
        <x:f>SUM(AQ12:AQ13)</x:f>
        <x:v>6007.800000000001</x:v>
      </x:c>
      <x:c r="AR14" s="23" t="n">
        <x:f>SUM(AR12:AR13)</x:f>
        <x:v>2490.9</x:v>
      </x:c>
      <x:c r="AS14" s="23" t="n">
        <x:f>SUM(AS12:AS13)</x:f>
        <x:v>2573.93</x:v>
      </x:c>
      <x:c r="AT14" s="23" t="n">
        <x:f>SUM(AT12:AT13)</x:f>
        <x:v>2490.9</x:v>
      </x:c>
      <x:c r="AU14" s="23" t="n">
        <x:f>SUM(AU12:AU13)</x:f>
        <x:v>6007.800000000001</x:v>
      </x:c>
      <x:c r="AV14" s="23" t="n">
        <x:f>SUM(AV12:AV13)</x:f>
        <x:v>8935.13</x:v>
      </x:c>
      <x:c r="AW14" s="23" t="n">
        <x:f>SUM(AW12:AW13)</x:f>
        <x:v>8070.439999999999</x:v>
      </x:c>
      <x:c r="AX14" s="23" t="n">
        <x:f>SUM(AX12:AX13)</x:f>
        <x:v>3386.75</x:v>
      </x:c>
      <x:c r="AY14" s="23" t="n">
        <x:f>SUM(AY12:AY13)</x:f>
        <x:v>2490.9</x:v>
      </x:c>
      <x:c r="AZ14" s="23" t="n">
        <x:f>SUM(AZ12:AZ13)</x:f>
        <x:v>2573.93</x:v>
      </x:c>
      <x:c r="BA14" s="23" t="n">
        <x:f>SUM(BA12:BA13)</x:f>
        <x:v>2490.9</x:v>
      </x:c>
      <x:c r="BB14" s="23" t="n">
        <x:f>SUM(BB12:BB13)</x:f>
        <x:v>6007.800000000001</x:v>
      </x:c>
      <x:c r="BC14" s="23" t="n">
        <x:f>SUM(BC12:BC13)</x:f>
        <x:v>6007.800000000001</x:v>
      </x:c>
      <x:c r="BD14" s="23" t="n">
        <x:f>SUM(BD12:BD13)</x:f>
        <x:v>2490.9</x:v>
      </x:c>
      <x:c r="BE14" s="23" t="n">
        <x:f>SUM(BE12:BE13)</x:f>
        <x:v>2573.93</x:v>
      </x:c>
      <x:c r="BF14" s="23" t="n">
        <x:f>SUM(BF12:BF13)</x:f>
        <x:v>2490.9</x:v>
      </x:c>
      <x:c r="BG14" s="23" t="n">
        <x:f>SUM(BG12:BG13)</x:f>
        <x:v>6007.800000000001</x:v>
      </x:c>
      <x:c r="BH14" s="23" t="n">
        <x:f>SUM(BH12:BH13)</x:f>
        <x:v>8935.13</x:v>
      </x:c>
      <x:c r="BI14" s="23" t="n">
        <x:f>SUM(BI12:BI13)</x:f>
        <x:v>8070.439999999999</x:v>
      </x:c>
      <x:c r="BJ14" s="23" t="n">
        <x:f>SUM(BJ12:BJ13)</x:f>
        <x:v>3386.75</x:v>
      </x:c>
    </x:row>
    <x:row r="15">
      <x:c r="A15" s="13" t="str">
        <x:v>人件費_フロント</x:v>
      </x:c>
      <x:c r="B15" s="13" t="str">
        <x:v>時給</x:v>
      </x:c>
      <x:c r="C15" s="22" t="n">
        <x:v>1500</x:v>
      </x:c>
      <x:c r="D15" s="22" t="n">
        <x:v>1500</x:v>
      </x:c>
      <x:c r="E15" s="22" t="n">
        <x:v>1500</x:v>
      </x:c>
      <x:c r="F15" s="22" t="n">
        <x:v>1500</x:v>
      </x:c>
      <x:c r="G15" s="22" t="n">
        <x:v>1500</x:v>
      </x:c>
      <x:c r="H15" s="22" t="n">
        <x:v>1500</x:v>
      </x:c>
      <x:c r="I15" s="22" t="n">
        <x:v>1500</x:v>
      </x:c>
      <x:c r="J15" s="22" t="n">
        <x:v>1500</x:v>
      </x:c>
      <x:c r="K15" s="22" t="n">
        <x:v>1500</x:v>
      </x:c>
      <x:c r="L15" s="22" t="n">
        <x:v>1500</x:v>
      </x:c>
      <x:c r="M15" s="22" t="n">
        <x:v>1500</x:v>
      </x:c>
      <x:c r="N15" s="22" t="n">
        <x:v>1500</x:v>
      </x:c>
      <x:c r="O15" s="22" t="n">
        <x:v>1500</x:v>
      </x:c>
      <x:c r="P15" s="22" t="n">
        <x:v>1500</x:v>
      </x:c>
      <x:c r="Q15" s="22" t="n">
        <x:v>1500</x:v>
      </x:c>
      <x:c r="R15" s="22" t="n">
        <x:v>1500</x:v>
      </x:c>
      <x:c r="S15" s="22" t="n">
        <x:v>1500</x:v>
      </x:c>
      <x:c r="T15" s="22" t="n">
        <x:v>1500</x:v>
      </x:c>
      <x:c r="U15" s="22" t="n">
        <x:v>1500</x:v>
      </x:c>
      <x:c r="V15" s="22" t="n">
        <x:v>1500</x:v>
      </x:c>
      <x:c r="W15" s="22" t="n">
        <x:v>1500</x:v>
      </x:c>
      <x:c r="X15" s="22" t="n">
        <x:v>1500</x:v>
      </x:c>
      <x:c r="Y15" s="22" t="n">
        <x:v>1500</x:v>
      </x:c>
      <x:c r="Z15" s="22" t="n">
        <x:v>1500</x:v>
      </x:c>
      <x:c r="AA15" s="22" t="n">
        <x:v>1500</x:v>
      </x:c>
      <x:c r="AB15" s="22" t="n">
        <x:v>1500</x:v>
      </x:c>
      <x:c r="AC15" s="22" t="n">
        <x:v>1500</x:v>
      </x:c>
      <x:c r="AD15" s="22" t="n">
        <x:v>1500</x:v>
      </x:c>
      <x:c r="AE15" s="22" t="n">
        <x:v>1500</x:v>
      </x:c>
      <x:c r="AF15" s="22" t="n">
        <x:v>1500</x:v>
      </x:c>
      <x:c r="AG15" s="22" t="n">
        <x:v>1500</x:v>
      </x:c>
      <x:c r="AH15" s="22" t="n">
        <x:v>1500</x:v>
      </x:c>
      <x:c r="AI15" s="22" t="n">
        <x:v>1500</x:v>
      </x:c>
      <x:c r="AJ15" s="22" t="n">
        <x:v>1500</x:v>
      </x:c>
      <x:c r="AK15" s="22" t="n">
        <x:v>1500</x:v>
      </x:c>
      <x:c r="AL15" s="22" t="n">
        <x:v>1500</x:v>
      </x:c>
      <x:c r="AM15" s="22" t="n">
        <x:v>1500</x:v>
      </x:c>
      <x:c r="AN15" s="22" t="n">
        <x:v>1500</x:v>
      </x:c>
      <x:c r="AO15" s="22" t="n">
        <x:v>1500</x:v>
      </x:c>
      <x:c r="AP15" s="22" t="n">
        <x:v>1500</x:v>
      </x:c>
      <x:c r="AQ15" s="22" t="n">
        <x:v>1500</x:v>
      </x:c>
      <x:c r="AR15" s="22" t="n">
        <x:v>1500</x:v>
      </x:c>
      <x:c r="AS15" s="22" t="n">
        <x:v>1500</x:v>
      </x:c>
      <x:c r="AT15" s="22" t="n">
        <x:v>1500</x:v>
      </x:c>
      <x:c r="AU15" s="22" t="n">
        <x:v>1500</x:v>
      </x:c>
      <x:c r="AV15" s="22" t="n">
        <x:v>1500</x:v>
      </x:c>
      <x:c r="AW15" s="22" t="n">
        <x:v>1500</x:v>
      </x:c>
      <x:c r="AX15" s="22" t="n">
        <x:v>1500</x:v>
      </x:c>
      <x:c r="AY15" s="22" t="n">
        <x:v>1500</x:v>
      </x:c>
      <x:c r="AZ15" s="22" t="n">
        <x:v>1500</x:v>
      </x:c>
      <x:c r="BA15" s="22" t="n">
        <x:v>1500</x:v>
      </x:c>
      <x:c r="BB15" s="22" t="n">
        <x:v>1500</x:v>
      </x:c>
      <x:c r="BC15" s="22" t="n">
        <x:v>1500</x:v>
      </x:c>
      <x:c r="BD15" s="22" t="n">
        <x:v>1500</x:v>
      </x:c>
      <x:c r="BE15" s="22" t="n">
        <x:v>1500</x:v>
      </x:c>
      <x:c r="BF15" s="22" t="n">
        <x:v>1500</x:v>
      </x:c>
      <x:c r="BG15" s="22" t="n">
        <x:v>1500</x:v>
      </x:c>
      <x:c r="BH15" s="22" t="n">
        <x:v>1500</x:v>
      </x:c>
      <x:c r="BI15" s="22" t="n">
        <x:v>1500</x:v>
      </x:c>
      <x:c r="BJ15" s="22" t="n">
        <x:v>1500</x:v>
      </x:c>
    </x:row>
    <x:row r="16">
      <x:c r="A16" s="13" t="str">
        <x:v>人件費_フロント</x:v>
      </x:c>
      <x:c r="B16" s="13" t="str">
        <x:v>勤務時間/日</x:v>
      </x:c>
      <x:c r="C16" s="22" t="n">
        <x:v>12</x:v>
      </x:c>
      <x:c r="D16" s="22" t="n">
        <x:v>12</x:v>
      </x:c>
      <x:c r="E16" s="22" t="n">
        <x:v>12</x:v>
      </x:c>
      <x:c r="F16" s="22" t="n">
        <x:v>12</x:v>
      </x:c>
      <x:c r="G16" s="22" t="n">
        <x:v>12</x:v>
      </x:c>
      <x:c r="H16" s="22" t="n">
        <x:v>12</x:v>
      </x:c>
      <x:c r="I16" s="22" t="n">
        <x:v>12</x:v>
      </x:c>
      <x:c r="J16" s="22" t="n">
        <x:v>12</x:v>
      </x:c>
      <x:c r="K16" s="22" t="n">
        <x:v>12</x:v>
      </x:c>
      <x:c r="L16" s="22" t="n">
        <x:v>12</x:v>
      </x:c>
      <x:c r="M16" s="22" t="n">
        <x:v>12</x:v>
      </x:c>
      <x:c r="N16" s="22" t="n">
        <x:v>12</x:v>
      </x:c>
      <x:c r="O16" s="22" t="n">
        <x:v>12</x:v>
      </x:c>
      <x:c r="P16" s="22" t="n">
        <x:v>12</x:v>
      </x:c>
      <x:c r="Q16" s="22" t="n">
        <x:v>12</x:v>
      </x:c>
      <x:c r="R16" s="22" t="n">
        <x:v>12</x:v>
      </x:c>
      <x:c r="S16" s="22" t="n">
        <x:v>12</x:v>
      </x:c>
      <x:c r="T16" s="22" t="n">
        <x:v>12</x:v>
      </x:c>
      <x:c r="U16" s="22" t="n">
        <x:v>12</x:v>
      </x:c>
      <x:c r="V16" s="22" t="n">
        <x:v>12</x:v>
      </x:c>
      <x:c r="W16" s="22" t="n">
        <x:v>12</x:v>
      </x:c>
      <x:c r="X16" s="22" t="n">
        <x:v>12</x:v>
      </x:c>
      <x:c r="Y16" s="22" t="n">
        <x:v>12</x:v>
      </x:c>
      <x:c r="Z16" s="22" t="n">
        <x:v>12</x:v>
      </x:c>
      <x:c r="AA16" s="22" t="n">
        <x:v>12</x:v>
      </x:c>
      <x:c r="AB16" s="22" t="n">
        <x:v>12</x:v>
      </x:c>
      <x:c r="AC16" s="22" t="n">
        <x:v>12</x:v>
      </x:c>
      <x:c r="AD16" s="22" t="n">
        <x:v>12</x:v>
      </x:c>
      <x:c r="AE16" s="22" t="n">
        <x:v>12</x:v>
      </x:c>
      <x:c r="AF16" s="22" t="n">
        <x:v>12</x:v>
      </x:c>
      <x:c r="AG16" s="22" t="n">
        <x:v>12</x:v>
      </x:c>
      <x:c r="AH16" s="22" t="n">
        <x:v>12</x:v>
      </x:c>
      <x:c r="AI16" s="22" t="n">
        <x:v>12</x:v>
      </x:c>
      <x:c r="AJ16" s="22" t="n">
        <x:v>12</x:v>
      </x:c>
      <x:c r="AK16" s="22" t="n">
        <x:v>12</x:v>
      </x:c>
      <x:c r="AL16" s="22" t="n">
        <x:v>12</x:v>
      </x:c>
      <x:c r="AM16" s="22" t="n">
        <x:v>12</x:v>
      </x:c>
      <x:c r="AN16" s="22" t="n">
        <x:v>12</x:v>
      </x:c>
      <x:c r="AO16" s="22" t="n">
        <x:v>12</x:v>
      </x:c>
      <x:c r="AP16" s="22" t="n">
        <x:v>12</x:v>
      </x:c>
      <x:c r="AQ16" s="22" t="n">
        <x:v>12</x:v>
      </x:c>
      <x:c r="AR16" s="22" t="n">
        <x:v>12</x:v>
      </x:c>
      <x:c r="AS16" s="22" t="n">
        <x:v>12</x:v>
      </x:c>
      <x:c r="AT16" s="22" t="n">
        <x:v>12</x:v>
      </x:c>
      <x:c r="AU16" s="22" t="n">
        <x:v>12</x:v>
      </x:c>
      <x:c r="AV16" s="22" t="n">
        <x:v>12</x:v>
      </x:c>
      <x:c r="AW16" s="22" t="n">
        <x:v>12</x:v>
      </x:c>
      <x:c r="AX16" s="22" t="n">
        <x:v>12</x:v>
      </x:c>
      <x:c r="AY16" s="22" t="n">
        <x:v>12</x:v>
      </x:c>
      <x:c r="AZ16" s="22" t="n">
        <x:v>12</x:v>
      </x:c>
      <x:c r="BA16" s="22" t="n">
        <x:v>12</x:v>
      </x:c>
      <x:c r="BB16" s="22" t="n">
        <x:v>12</x:v>
      </x:c>
      <x:c r="BC16" s="22" t="n">
        <x:v>12</x:v>
      </x:c>
      <x:c r="BD16" s="22" t="n">
        <x:v>12</x:v>
      </x:c>
      <x:c r="BE16" s="22" t="n">
        <x:v>12</x:v>
      </x:c>
      <x:c r="BF16" s="22" t="n">
        <x:v>12</x:v>
      </x:c>
      <x:c r="BG16" s="22" t="n">
        <x:v>12</x:v>
      </x:c>
      <x:c r="BH16" s="22" t="n">
        <x:v>12</x:v>
      </x:c>
      <x:c r="BI16" s="22" t="n">
        <x:v>12</x:v>
      </x:c>
      <x:c r="BJ16" s="22" t="n">
        <x:v>12</x:v>
      </x:c>
    </x:row>
    <x:row r="17">
      <x:c r="A17" s="13" t="str">
        <x:v>人件費_フロント</x:v>
      </x:c>
      <x:c r="B17" s="13" t="str">
        <x:v>オペレーション人数</x:v>
      </x:c>
      <x:c r="C17" s="22" t="n">
        <x:v>1</x:v>
      </x:c>
      <x:c r="D17" s="22" t="n">
        <x:v>1</x:v>
      </x:c>
      <x:c r="E17" s="22" t="n">
        <x:v>1</x:v>
      </x:c>
      <x:c r="F17" s="22" t="n">
        <x:v>1</x:v>
      </x:c>
      <x:c r="G17" s="22" t="n">
        <x:v>1</x:v>
      </x:c>
      <x:c r="H17" s="22" t="n">
        <x:v>1</x:v>
      </x:c>
      <x:c r="I17" s="22" t="n">
        <x:v>1</x:v>
      </x:c>
      <x:c r="J17" s="22" t="n">
        <x:v>1</x:v>
      </x:c>
      <x:c r="K17" s="22" t="n">
        <x:v>1</x:v>
      </x:c>
      <x:c r="L17" s="22" t="n">
        <x:v>1</x:v>
      </x:c>
      <x:c r="M17" s="22" t="n">
        <x:v>1</x:v>
      </x:c>
      <x:c r="N17" s="22" t="n">
        <x:v>1</x:v>
      </x:c>
      <x:c r="O17" s="22" t="n">
        <x:v>1</x:v>
      </x:c>
      <x:c r="P17" s="22" t="n">
        <x:v>1</x:v>
      </x:c>
      <x:c r="Q17" s="22" t="n">
        <x:v>1</x:v>
      </x:c>
      <x:c r="R17" s="22" t="n">
        <x:v>1</x:v>
      </x:c>
      <x:c r="S17" s="22" t="n">
        <x:v>1</x:v>
      </x:c>
      <x:c r="T17" s="22" t="n">
        <x:v>1</x:v>
      </x:c>
      <x:c r="U17" s="22" t="n">
        <x:v>1</x:v>
      </x:c>
      <x:c r="V17" s="22" t="n">
        <x:v>1</x:v>
      </x:c>
      <x:c r="W17" s="22" t="n">
        <x:v>1</x:v>
      </x:c>
      <x:c r="X17" s="22" t="n">
        <x:v>1</x:v>
      </x:c>
      <x:c r="Y17" s="22" t="n">
        <x:v>1</x:v>
      </x:c>
      <x:c r="Z17" s="22" t="n">
        <x:v>1</x:v>
      </x:c>
      <x:c r="AA17" s="22" t="n">
        <x:v>1</x:v>
      </x:c>
      <x:c r="AB17" s="22" t="n">
        <x:v>1</x:v>
      </x:c>
      <x:c r="AC17" s="22" t="n">
        <x:v>1</x:v>
      </x:c>
      <x:c r="AD17" s="22" t="n">
        <x:v>1</x:v>
      </x:c>
      <x:c r="AE17" s="22" t="n">
        <x:v>1</x:v>
      </x:c>
      <x:c r="AF17" s="22" t="n">
        <x:v>1</x:v>
      </x:c>
      <x:c r="AG17" s="22" t="n">
        <x:v>1</x:v>
      </x:c>
      <x:c r="AH17" s="22" t="n">
        <x:v>1</x:v>
      </x:c>
      <x:c r="AI17" s="22" t="n">
        <x:v>1</x:v>
      </x:c>
      <x:c r="AJ17" s="22" t="n">
        <x:v>1</x:v>
      </x:c>
      <x:c r="AK17" s="22" t="n">
        <x:v>1</x:v>
      </x:c>
      <x:c r="AL17" s="22" t="n">
        <x:v>1</x:v>
      </x:c>
      <x:c r="AM17" s="22" t="n">
        <x:v>1</x:v>
      </x:c>
      <x:c r="AN17" s="22" t="n">
        <x:v>1</x:v>
      </x:c>
      <x:c r="AO17" s="22" t="n">
        <x:v>1</x:v>
      </x:c>
      <x:c r="AP17" s="22" t="n">
        <x:v>1</x:v>
      </x:c>
      <x:c r="AQ17" s="22" t="n">
        <x:v>1</x:v>
      </x:c>
      <x:c r="AR17" s="22" t="n">
        <x:v>1</x:v>
      </x:c>
      <x:c r="AS17" s="22" t="n">
        <x:v>1</x:v>
      </x:c>
      <x:c r="AT17" s="22" t="n">
        <x:v>1</x:v>
      </x:c>
      <x:c r="AU17" s="22" t="n">
        <x:v>1</x:v>
      </x:c>
      <x:c r="AV17" s="22" t="n">
        <x:v>1</x:v>
      </x:c>
      <x:c r="AW17" s="22" t="n">
        <x:v>1</x:v>
      </x:c>
      <x:c r="AX17" s="22" t="n">
        <x:v>1</x:v>
      </x:c>
      <x:c r="AY17" s="22" t="n">
        <x:v>1</x:v>
      </x:c>
      <x:c r="AZ17" s="22" t="n">
        <x:v>1</x:v>
      </x:c>
      <x:c r="BA17" s="22" t="n">
        <x:v>1</x:v>
      </x:c>
      <x:c r="BB17" s="22" t="n">
        <x:v>1</x:v>
      </x:c>
      <x:c r="BC17" s="22" t="n">
        <x:v>1</x:v>
      </x:c>
      <x:c r="BD17" s="22" t="n">
        <x:v>1</x:v>
      </x:c>
      <x:c r="BE17" s="22" t="n">
        <x:v>1</x:v>
      </x:c>
      <x:c r="BF17" s="22" t="n">
        <x:v>1</x:v>
      </x:c>
      <x:c r="BG17" s="22" t="n">
        <x:v>1</x:v>
      </x:c>
      <x:c r="BH17" s="22" t="n">
        <x:v>1</x:v>
      </x:c>
      <x:c r="BI17" s="22" t="n">
        <x:v>1</x:v>
      </x:c>
      <x:c r="BJ17" s="22" t="n">
        <x:v>1</x:v>
      </x:c>
    </x:row>
    <x:row r="18">
      <x:c r="A18" s="13" t="str">
        <x:v>人件費_フロント</x:v>
      </x:c>
      <x:c r="B18" s="13" t="str">
        <x:v>フロント人件費</x:v>
      </x:c>
      <x:c r="C18" s="23" t="n">
        <x:f>C15*C16*C17*C7/1000</x:f>
        <x:v>540</x:v>
      </x:c>
      <x:c r="D18" s="23" t="n">
        <x:f>D15*D16*D17*D7/1000</x:f>
        <x:v>558</x:v>
      </x:c>
      <x:c r="E18" s="23" t="n">
        <x:f>E15*E16*E17*E7/1000</x:f>
        <x:v>540</x:v>
      </x:c>
      <x:c r="F18" s="23" t="n">
        <x:f>F15*F16*F17*F7/1000</x:f>
        <x:v>558</x:v>
      </x:c>
      <x:c r="G18" s="23" t="n">
        <x:f>G15*G16*G17*G7/1000</x:f>
        <x:v>558</x:v>
      </x:c>
      <x:c r="H18" s="23" t="n">
        <x:f>H15*H16*H17*H7/1000</x:f>
        <x:v>540</x:v>
      </x:c>
      <x:c r="I18" s="23" t="n">
        <x:f>I15*I16*I17*I7/1000</x:f>
        <x:v>558</x:v>
      </x:c>
      <x:c r="J18" s="23" t="n">
        <x:f>J15*J16*J17*J7/1000</x:f>
        <x:v>540</x:v>
      </x:c>
      <x:c r="K18" s="23" t="n">
        <x:f>K15*K16*K17*K7/1000</x:f>
        <x:v>558</x:v>
      </x:c>
      <x:c r="L18" s="23" t="n">
        <x:f>L15*L16*L17*L7/1000</x:f>
        <x:v>558</x:v>
      </x:c>
      <x:c r="M18" s="23" t="n">
        <x:f>M15*M16*M17*M7/1000</x:f>
        <x:v>504</x:v>
      </x:c>
      <x:c r="N18" s="23" t="n">
        <x:f>N15*N16*N17*N7/1000</x:f>
        <x:v>558</x:v>
      </x:c>
      <x:c r="O18" s="23" t="n">
        <x:f>O15*O16*O17*O7/1000</x:f>
        <x:v>540</x:v>
      </x:c>
      <x:c r="P18" s="23" t="n">
        <x:f>P15*P16*P17*P7/1000</x:f>
        <x:v>558</x:v>
      </x:c>
      <x:c r="Q18" s="23" t="n">
        <x:f>Q15*Q16*Q17*Q7/1000</x:f>
        <x:v>540</x:v>
      </x:c>
      <x:c r="R18" s="23" t="n">
        <x:f>R15*R16*R17*R7/1000</x:f>
        <x:v>558</x:v>
      </x:c>
      <x:c r="S18" s="23" t="n">
        <x:f>S15*S16*S17*S7/1000</x:f>
        <x:v>558</x:v>
      </x:c>
      <x:c r="T18" s="23" t="n">
        <x:f>T15*T16*T17*T7/1000</x:f>
        <x:v>540</x:v>
      </x:c>
      <x:c r="U18" s="23" t="n">
        <x:f>U15*U16*U17*U7/1000</x:f>
        <x:v>558</x:v>
      </x:c>
      <x:c r="V18" s="23" t="n">
        <x:f>V15*V16*V17*V7/1000</x:f>
        <x:v>540</x:v>
      </x:c>
      <x:c r="W18" s="23" t="n">
        <x:f>W15*W16*W17*W7/1000</x:f>
        <x:v>558</x:v>
      </x:c>
      <x:c r="X18" s="23" t="n">
        <x:f>X15*X16*X17*X7/1000</x:f>
        <x:v>558</x:v>
      </x:c>
      <x:c r="Y18" s="23" t="n">
        <x:f>Y15*Y16*Y17*Y7/1000</x:f>
        <x:v>522</x:v>
      </x:c>
      <x:c r="Z18" s="23" t="n">
        <x:f>Z15*Z16*Z17*Z7/1000</x:f>
        <x:v>558</x:v>
      </x:c>
      <x:c r="AA18" s="23" t="n">
        <x:f>AA15*AA16*AA17*AA7/1000</x:f>
        <x:v>540</x:v>
      </x:c>
      <x:c r="AB18" s="23" t="n">
        <x:f>AB15*AB16*AB17*AB7/1000</x:f>
        <x:v>558</x:v>
      </x:c>
      <x:c r="AC18" s="23" t="n">
        <x:f>AC15*AC16*AC17*AC7/1000</x:f>
        <x:v>540</x:v>
      </x:c>
      <x:c r="AD18" s="23" t="n">
        <x:f>AD15*AD16*AD17*AD7/1000</x:f>
        <x:v>558</x:v>
      </x:c>
      <x:c r="AE18" s="23" t="n">
        <x:f>AE15*AE16*AE17*AE7/1000</x:f>
        <x:v>558</x:v>
      </x:c>
      <x:c r="AF18" s="23" t="n">
        <x:f>AF15*AF16*AF17*AF7/1000</x:f>
        <x:v>540</x:v>
      </x:c>
      <x:c r="AG18" s="23" t="n">
        <x:f>AG15*AG16*AG17*AG7/1000</x:f>
        <x:v>558</x:v>
      </x:c>
      <x:c r="AH18" s="23" t="n">
        <x:f>AH15*AH16*AH17*AH7/1000</x:f>
        <x:v>540</x:v>
      </x:c>
      <x:c r="AI18" s="23" t="n">
        <x:f>AI15*AI16*AI17*AI7/1000</x:f>
        <x:v>558</x:v>
      </x:c>
      <x:c r="AJ18" s="23" t="n">
        <x:f>AJ15*AJ16*AJ17*AJ7/1000</x:f>
        <x:v>558</x:v>
      </x:c>
      <x:c r="AK18" s="23" t="n">
        <x:f>AK15*AK16*AK17*AK7/1000</x:f>
        <x:v>504</x:v>
      </x:c>
      <x:c r="AL18" s="23" t="n">
        <x:f>AL15*AL16*AL17*AL7/1000</x:f>
        <x:v>558</x:v>
      </x:c>
      <x:c r="AM18" s="23" t="n">
        <x:f>AM15*AM16*AM17*AM7/1000</x:f>
        <x:v>540</x:v>
      </x:c>
      <x:c r="AN18" s="23" t="n">
        <x:f>AN15*AN16*AN17*AN7/1000</x:f>
        <x:v>558</x:v>
      </x:c>
      <x:c r="AO18" s="23" t="n">
        <x:f>AO15*AO16*AO17*AO7/1000</x:f>
        <x:v>540</x:v>
      </x:c>
      <x:c r="AP18" s="23" t="n">
        <x:f>AP15*AP16*AP17*AP7/1000</x:f>
        <x:v>558</x:v>
      </x:c>
      <x:c r="AQ18" s="23" t="n">
        <x:f>AQ15*AQ16*AQ17*AQ7/1000</x:f>
        <x:v>558</x:v>
      </x:c>
      <x:c r="AR18" s="23" t="n">
        <x:f>AR15*AR16*AR17*AR7/1000</x:f>
        <x:v>540</x:v>
      </x:c>
      <x:c r="AS18" s="23" t="n">
        <x:f>AS15*AS16*AS17*AS7/1000</x:f>
        <x:v>558</x:v>
      </x:c>
      <x:c r="AT18" s="23" t="n">
        <x:f>AT15*AT16*AT17*AT7/1000</x:f>
        <x:v>540</x:v>
      </x:c>
      <x:c r="AU18" s="23" t="n">
        <x:f>AU15*AU16*AU17*AU7/1000</x:f>
        <x:v>558</x:v>
      </x:c>
      <x:c r="AV18" s="23" t="n">
        <x:f>AV15*AV16*AV17*AV7/1000</x:f>
        <x:v>558</x:v>
      </x:c>
      <x:c r="AW18" s="23" t="n">
        <x:f>AW15*AW16*AW17*AW7/1000</x:f>
        <x:v>504</x:v>
      </x:c>
      <x:c r="AX18" s="23" t="n">
        <x:f>AX15*AX16*AX17*AX7/1000</x:f>
        <x:v>558</x:v>
      </x:c>
      <x:c r="AY18" s="23" t="n">
        <x:f>AY15*AY16*AY17*AY7/1000</x:f>
        <x:v>540</x:v>
      </x:c>
      <x:c r="AZ18" s="23" t="n">
        <x:f>AZ15*AZ16*AZ17*AZ7/1000</x:f>
        <x:v>558</x:v>
      </x:c>
      <x:c r="BA18" s="23" t="n">
        <x:f>BA15*BA16*BA17*BA7/1000</x:f>
        <x:v>540</x:v>
      </x:c>
      <x:c r="BB18" s="23" t="n">
        <x:f>BB15*BB16*BB17*BB7/1000</x:f>
        <x:v>558</x:v>
      </x:c>
      <x:c r="BC18" s="23" t="n">
        <x:f>BC15*BC16*BC17*BC7/1000</x:f>
        <x:v>558</x:v>
      </x:c>
      <x:c r="BD18" s="23" t="n">
        <x:f>BD15*BD16*BD17*BD7/1000</x:f>
        <x:v>540</x:v>
      </x:c>
      <x:c r="BE18" s="23" t="n">
        <x:f>BE15*BE16*BE17*BE7/1000</x:f>
        <x:v>558</x:v>
      </x:c>
      <x:c r="BF18" s="23" t="n">
        <x:f>BF15*BF16*BF17*BF7/1000</x:f>
        <x:v>540</x:v>
      </x:c>
      <x:c r="BG18" s="23" t="n">
        <x:f>BG15*BG16*BG17*BG7/1000</x:f>
        <x:v>558</x:v>
      </x:c>
      <x:c r="BH18" s="23" t="n">
        <x:f>BH15*BH16*BH17*BH7/1000</x:f>
        <x:v>558</x:v>
      </x:c>
      <x:c r="BI18" s="23" t="n">
        <x:f>BI15*BI16*BI17*BI7/1000</x:f>
        <x:v>504</x:v>
      </x:c>
      <x:c r="BJ18" s="23" t="n">
        <x:f>BJ15*BJ16*BJ17*BJ7/1000</x:f>
        <x:v>558</x:v>
      </x:c>
    </x:row>
    <x:row r="19">
      <x:c r="A19" s="13" t="str">
        <x:v>人件費_清掃</x:v>
      </x:c>
      <x:c r="B19" s="13" t="str">
        <x:v>時給</x:v>
      </x:c>
      <x:c r="C19" s="22" t="n">
        <x:v>1200</x:v>
      </x:c>
      <x:c r="D19" s="22" t="n">
        <x:v>1200</x:v>
      </x:c>
      <x:c r="E19" s="22" t="n">
        <x:v>1200</x:v>
      </x:c>
      <x:c r="F19" s="22" t="n">
        <x:v>1200</x:v>
      </x:c>
      <x:c r="G19" s="22" t="n">
        <x:v>1200</x:v>
      </x:c>
      <x:c r="H19" s="22" t="n">
        <x:v>1200</x:v>
      </x:c>
      <x:c r="I19" s="22" t="n">
        <x:v>1200</x:v>
      </x:c>
      <x:c r="J19" s="22" t="n">
        <x:v>1200</x:v>
      </x:c>
      <x:c r="K19" s="22" t="n">
        <x:v>1200</x:v>
      </x:c>
      <x:c r="L19" s="22" t="n">
        <x:v>1200</x:v>
      </x:c>
      <x:c r="M19" s="22" t="n">
        <x:v>1200</x:v>
      </x:c>
      <x:c r="N19" s="22" t="n">
        <x:v>1200</x:v>
      </x:c>
      <x:c r="O19" s="22" t="n">
        <x:v>1200</x:v>
      </x:c>
      <x:c r="P19" s="22" t="n">
        <x:v>1200</x:v>
      </x:c>
      <x:c r="Q19" s="22" t="n">
        <x:v>1200</x:v>
      </x:c>
      <x:c r="R19" s="22" t="n">
        <x:v>1200</x:v>
      </x:c>
      <x:c r="S19" s="22" t="n">
        <x:v>1200</x:v>
      </x:c>
      <x:c r="T19" s="22" t="n">
        <x:v>1200</x:v>
      </x:c>
      <x:c r="U19" s="22" t="n">
        <x:v>1200</x:v>
      </x:c>
      <x:c r="V19" s="22" t="n">
        <x:v>1200</x:v>
      </x:c>
      <x:c r="W19" s="22" t="n">
        <x:v>1200</x:v>
      </x:c>
      <x:c r="X19" s="22" t="n">
        <x:v>1200</x:v>
      </x:c>
      <x:c r="Y19" s="22" t="n">
        <x:v>1200</x:v>
      </x:c>
      <x:c r="Z19" s="22" t="n">
        <x:v>1200</x:v>
      </x:c>
      <x:c r="AA19" s="22" t="n">
        <x:v>1200</x:v>
      </x:c>
      <x:c r="AB19" s="22" t="n">
        <x:v>1200</x:v>
      </x:c>
      <x:c r="AC19" s="22" t="n">
        <x:v>1200</x:v>
      </x:c>
      <x:c r="AD19" s="22" t="n">
        <x:v>1200</x:v>
      </x:c>
      <x:c r="AE19" s="22" t="n">
        <x:v>1200</x:v>
      </x:c>
      <x:c r="AF19" s="22" t="n">
        <x:v>1200</x:v>
      </x:c>
      <x:c r="AG19" s="22" t="n">
        <x:v>1200</x:v>
      </x:c>
      <x:c r="AH19" s="22" t="n">
        <x:v>1200</x:v>
      </x:c>
      <x:c r="AI19" s="22" t="n">
        <x:v>1200</x:v>
      </x:c>
      <x:c r="AJ19" s="22" t="n">
        <x:v>1200</x:v>
      </x:c>
      <x:c r="AK19" s="22" t="n">
        <x:v>1200</x:v>
      </x:c>
      <x:c r="AL19" s="22" t="n">
        <x:v>1200</x:v>
      </x:c>
      <x:c r="AM19" s="22" t="n">
        <x:v>1200</x:v>
      </x:c>
      <x:c r="AN19" s="22" t="n">
        <x:v>1200</x:v>
      </x:c>
      <x:c r="AO19" s="22" t="n">
        <x:v>1200</x:v>
      </x:c>
      <x:c r="AP19" s="22" t="n">
        <x:v>1200</x:v>
      </x:c>
      <x:c r="AQ19" s="22" t="n">
        <x:v>1200</x:v>
      </x:c>
      <x:c r="AR19" s="22" t="n">
        <x:v>1200</x:v>
      </x:c>
      <x:c r="AS19" s="22" t="n">
        <x:v>1200</x:v>
      </x:c>
      <x:c r="AT19" s="22" t="n">
        <x:v>1200</x:v>
      </x:c>
      <x:c r="AU19" s="22" t="n">
        <x:v>1200</x:v>
      </x:c>
      <x:c r="AV19" s="22" t="n">
        <x:v>1200</x:v>
      </x:c>
      <x:c r="AW19" s="22" t="n">
        <x:v>1200</x:v>
      </x:c>
      <x:c r="AX19" s="22" t="n">
        <x:v>1200</x:v>
      </x:c>
      <x:c r="AY19" s="22" t="n">
        <x:v>1200</x:v>
      </x:c>
      <x:c r="AZ19" s="22" t="n">
        <x:v>1200</x:v>
      </x:c>
      <x:c r="BA19" s="22" t="n">
        <x:v>1200</x:v>
      </x:c>
      <x:c r="BB19" s="22" t="n">
        <x:v>1200</x:v>
      </x:c>
      <x:c r="BC19" s="22" t="n">
        <x:v>1200</x:v>
      </x:c>
      <x:c r="BD19" s="22" t="n">
        <x:v>1200</x:v>
      </x:c>
      <x:c r="BE19" s="22" t="n">
        <x:v>1200</x:v>
      </x:c>
      <x:c r="BF19" s="22" t="n">
        <x:v>1200</x:v>
      </x:c>
      <x:c r="BG19" s="22" t="n">
        <x:v>1200</x:v>
      </x:c>
      <x:c r="BH19" s="22" t="n">
        <x:v>1200</x:v>
      </x:c>
      <x:c r="BI19" s="22" t="n">
        <x:v>1200</x:v>
      </x:c>
      <x:c r="BJ19" s="22" t="n">
        <x:v>1200</x:v>
      </x:c>
    </x:row>
    <x:row r="20">
      <x:c r="A20" s="13" t="str">
        <x:v>人件費_清掃</x:v>
      </x:c>
      <x:c r="B20" s="13" t="str">
        <x:v>勤務時間/日</x:v>
      </x:c>
      <x:c r="C20" s="22" t="n">
        <x:v>6</x:v>
      </x:c>
      <x:c r="D20" s="22" t="n">
        <x:v>6</x:v>
      </x:c>
      <x:c r="E20" s="22" t="n">
        <x:v>6</x:v>
      </x:c>
      <x:c r="F20" s="22" t="n">
        <x:v>6</x:v>
      </x:c>
      <x:c r="G20" s="22" t="n">
        <x:v>6</x:v>
      </x:c>
      <x:c r="H20" s="22" t="n">
        <x:v>6</x:v>
      </x:c>
      <x:c r="I20" s="22" t="n">
        <x:v>6</x:v>
      </x:c>
      <x:c r="J20" s="22" t="n">
        <x:v>6</x:v>
      </x:c>
      <x:c r="K20" s="22" t="n">
        <x:v>6</x:v>
      </x:c>
      <x:c r="L20" s="22" t="n">
        <x:v>6</x:v>
      </x:c>
      <x:c r="M20" s="22" t="n">
        <x:v>6</x:v>
      </x:c>
      <x:c r="N20" s="22" t="n">
        <x:v>6</x:v>
      </x:c>
      <x:c r="O20" s="22" t="n">
        <x:v>6</x:v>
      </x:c>
      <x:c r="P20" s="22" t="n">
        <x:v>6</x:v>
      </x:c>
      <x:c r="Q20" s="22" t="n">
        <x:v>6</x:v>
      </x:c>
      <x:c r="R20" s="22" t="n">
        <x:v>6</x:v>
      </x:c>
      <x:c r="S20" s="22" t="n">
        <x:v>6</x:v>
      </x:c>
      <x:c r="T20" s="22" t="n">
        <x:v>6</x:v>
      </x:c>
      <x:c r="U20" s="22" t="n">
        <x:v>6</x:v>
      </x:c>
      <x:c r="V20" s="22" t="n">
        <x:v>6</x:v>
      </x:c>
      <x:c r="W20" s="22" t="n">
        <x:v>6</x:v>
      </x:c>
      <x:c r="X20" s="22" t="n">
        <x:v>6</x:v>
      </x:c>
      <x:c r="Y20" s="22" t="n">
        <x:v>6</x:v>
      </x:c>
      <x:c r="Z20" s="22" t="n">
        <x:v>6</x:v>
      </x:c>
      <x:c r="AA20" s="22" t="n">
        <x:v>6</x:v>
      </x:c>
      <x:c r="AB20" s="22" t="n">
        <x:v>6</x:v>
      </x:c>
      <x:c r="AC20" s="22" t="n">
        <x:v>6</x:v>
      </x:c>
      <x:c r="AD20" s="22" t="n">
        <x:v>6</x:v>
      </x:c>
      <x:c r="AE20" s="22" t="n">
        <x:v>6</x:v>
      </x:c>
      <x:c r="AF20" s="22" t="n">
        <x:v>6</x:v>
      </x:c>
      <x:c r="AG20" s="22" t="n">
        <x:v>6</x:v>
      </x:c>
      <x:c r="AH20" s="22" t="n">
        <x:v>6</x:v>
      </x:c>
      <x:c r="AI20" s="22" t="n">
        <x:v>6</x:v>
      </x:c>
      <x:c r="AJ20" s="22" t="n">
        <x:v>6</x:v>
      </x:c>
      <x:c r="AK20" s="22" t="n">
        <x:v>6</x:v>
      </x:c>
      <x:c r="AL20" s="22" t="n">
        <x:v>6</x:v>
      </x:c>
      <x:c r="AM20" s="22" t="n">
        <x:v>6</x:v>
      </x:c>
      <x:c r="AN20" s="22" t="n">
        <x:v>6</x:v>
      </x:c>
      <x:c r="AO20" s="22" t="n">
        <x:v>6</x:v>
      </x:c>
      <x:c r="AP20" s="22" t="n">
        <x:v>6</x:v>
      </x:c>
      <x:c r="AQ20" s="22" t="n">
        <x:v>6</x:v>
      </x:c>
      <x:c r="AR20" s="22" t="n">
        <x:v>6</x:v>
      </x:c>
      <x:c r="AS20" s="22" t="n">
        <x:v>6</x:v>
      </x:c>
      <x:c r="AT20" s="22" t="n">
        <x:v>6</x:v>
      </x:c>
      <x:c r="AU20" s="22" t="n">
        <x:v>6</x:v>
      </x:c>
      <x:c r="AV20" s="22" t="n">
        <x:v>6</x:v>
      </x:c>
      <x:c r="AW20" s="22" t="n">
        <x:v>6</x:v>
      </x:c>
      <x:c r="AX20" s="22" t="n">
        <x:v>6</x:v>
      </x:c>
      <x:c r="AY20" s="22" t="n">
        <x:v>6</x:v>
      </x:c>
      <x:c r="AZ20" s="22" t="n">
        <x:v>6</x:v>
      </x:c>
      <x:c r="BA20" s="22" t="n">
        <x:v>6</x:v>
      </x:c>
      <x:c r="BB20" s="22" t="n">
        <x:v>6</x:v>
      </x:c>
      <x:c r="BC20" s="22" t="n">
        <x:v>6</x:v>
      </x:c>
      <x:c r="BD20" s="22" t="n">
        <x:v>6</x:v>
      </x:c>
      <x:c r="BE20" s="22" t="n">
        <x:v>6</x:v>
      </x:c>
      <x:c r="BF20" s="22" t="n">
        <x:v>6</x:v>
      </x:c>
      <x:c r="BG20" s="22" t="n">
        <x:v>6</x:v>
      </x:c>
      <x:c r="BH20" s="22" t="n">
        <x:v>6</x:v>
      </x:c>
      <x:c r="BI20" s="22" t="n">
        <x:v>6</x:v>
      </x:c>
      <x:c r="BJ20" s="22" t="n">
        <x:v>6</x:v>
      </x:c>
    </x:row>
    <x:row r="21">
      <x:c r="A21" s="13" t="str">
        <x:v>人件費_清掃</x:v>
      </x:c>
      <x:c r="B21" s="13" t="str">
        <x:v>オペレーション人数</x:v>
      </x:c>
      <x:c r="C21" s="22" t="n">
        <x:v>2.5</x:v>
      </x:c>
      <x:c r="D21" s="22" t="n">
        <x:v>2.5</x:v>
      </x:c>
      <x:c r="E21" s="22" t="n">
        <x:v>2.5</x:v>
      </x:c>
      <x:c r="F21" s="22" t="n">
        <x:v>2.5</x:v>
      </x:c>
      <x:c r="G21" s="22" t="n">
        <x:v>2.5</x:v>
      </x:c>
      <x:c r="H21" s="22" t="n">
        <x:v>2.5</x:v>
      </x:c>
      <x:c r="I21" s="22" t="n">
        <x:v>2.5</x:v>
      </x:c>
      <x:c r="J21" s="22" t="n">
        <x:v>2.5</x:v>
      </x:c>
      <x:c r="K21" s="22" t="n">
        <x:v>2.5</x:v>
      </x:c>
      <x:c r="L21" s="22" t="n">
        <x:v>2.5</x:v>
      </x:c>
      <x:c r="M21" s="22" t="n">
        <x:v>2.5</x:v>
      </x:c>
      <x:c r="N21" s="22" t="n">
        <x:v>2.5</x:v>
      </x:c>
      <x:c r="O21" s="22" t="n">
        <x:v>2.5</x:v>
      </x:c>
      <x:c r="P21" s="22" t="n">
        <x:v>2.5</x:v>
      </x:c>
      <x:c r="Q21" s="22" t="n">
        <x:v>2.5</x:v>
      </x:c>
      <x:c r="R21" s="22" t="n">
        <x:v>2.5</x:v>
      </x:c>
      <x:c r="S21" s="22" t="n">
        <x:v>2.5</x:v>
      </x:c>
      <x:c r="T21" s="22" t="n">
        <x:v>2.5</x:v>
      </x:c>
      <x:c r="U21" s="22" t="n">
        <x:v>2.5</x:v>
      </x:c>
      <x:c r="V21" s="22" t="n">
        <x:v>2.5</x:v>
      </x:c>
      <x:c r="W21" s="22" t="n">
        <x:v>2.5</x:v>
      </x:c>
      <x:c r="X21" s="22" t="n">
        <x:v>2.5</x:v>
      </x:c>
      <x:c r="Y21" s="22" t="n">
        <x:v>2.5</x:v>
      </x:c>
      <x:c r="Z21" s="22" t="n">
        <x:v>2.5</x:v>
      </x:c>
      <x:c r="AA21" s="22" t="n">
        <x:v>2.5</x:v>
      </x:c>
      <x:c r="AB21" s="22" t="n">
        <x:v>2.5</x:v>
      </x:c>
      <x:c r="AC21" s="22" t="n">
        <x:v>2.5</x:v>
      </x:c>
      <x:c r="AD21" s="22" t="n">
        <x:v>2.5</x:v>
      </x:c>
      <x:c r="AE21" s="22" t="n">
        <x:v>2.5</x:v>
      </x:c>
      <x:c r="AF21" s="22" t="n">
        <x:v>2.5</x:v>
      </x:c>
      <x:c r="AG21" s="22" t="n">
        <x:v>2.5</x:v>
      </x:c>
      <x:c r="AH21" s="22" t="n">
        <x:v>2.5</x:v>
      </x:c>
      <x:c r="AI21" s="22" t="n">
        <x:v>2.5</x:v>
      </x:c>
      <x:c r="AJ21" s="22" t="n">
        <x:v>2.5</x:v>
      </x:c>
      <x:c r="AK21" s="22" t="n">
        <x:v>2.5</x:v>
      </x:c>
      <x:c r="AL21" s="22" t="n">
        <x:v>2.5</x:v>
      </x:c>
      <x:c r="AM21" s="22" t="n">
        <x:v>2.5</x:v>
      </x:c>
      <x:c r="AN21" s="22" t="n">
        <x:v>2.5</x:v>
      </x:c>
      <x:c r="AO21" s="22" t="n">
        <x:v>2.5</x:v>
      </x:c>
      <x:c r="AP21" s="22" t="n">
        <x:v>2.5</x:v>
      </x:c>
      <x:c r="AQ21" s="22" t="n">
        <x:v>2.5</x:v>
      </x:c>
      <x:c r="AR21" s="22" t="n">
        <x:v>2.5</x:v>
      </x:c>
      <x:c r="AS21" s="22" t="n">
        <x:v>2.5</x:v>
      </x:c>
      <x:c r="AT21" s="22" t="n">
        <x:v>2.5</x:v>
      </x:c>
      <x:c r="AU21" s="22" t="n">
        <x:v>2.5</x:v>
      </x:c>
      <x:c r="AV21" s="22" t="n">
        <x:v>2.5</x:v>
      </x:c>
      <x:c r="AW21" s="22" t="n">
        <x:v>2.5</x:v>
      </x:c>
      <x:c r="AX21" s="22" t="n">
        <x:v>2.5</x:v>
      </x:c>
      <x:c r="AY21" s="22" t="n">
        <x:v>2.5</x:v>
      </x:c>
      <x:c r="AZ21" s="22" t="n">
        <x:v>2.5</x:v>
      </x:c>
      <x:c r="BA21" s="22" t="n">
        <x:v>2.5</x:v>
      </x:c>
      <x:c r="BB21" s="22" t="n">
        <x:v>2.5</x:v>
      </x:c>
      <x:c r="BC21" s="22" t="n">
        <x:v>2.5</x:v>
      </x:c>
      <x:c r="BD21" s="22" t="n">
        <x:v>2.5</x:v>
      </x:c>
      <x:c r="BE21" s="22" t="n">
        <x:v>2.5</x:v>
      </x:c>
      <x:c r="BF21" s="22" t="n">
        <x:v>2.5</x:v>
      </x:c>
      <x:c r="BG21" s="22" t="n">
        <x:v>2.5</x:v>
      </x:c>
      <x:c r="BH21" s="22" t="n">
        <x:v>2.5</x:v>
      </x:c>
      <x:c r="BI21" s="22" t="n">
        <x:v>2.5</x:v>
      </x:c>
      <x:c r="BJ21" s="22" t="n">
        <x:v>2.5</x:v>
      </x:c>
    </x:row>
    <x:row r="22">
      <x:c r="A22" s="13" t="str">
        <x:v>人件費_清掃</x:v>
      </x:c>
      <x:c r="B22" s="13" t="str">
        <x:v>清掃人件費</x:v>
      </x:c>
      <x:c r="C22" s="23" t="n">
        <x:f>C19*C20*C21*C7/1000</x:f>
        <x:v>540</x:v>
      </x:c>
      <x:c r="D22" s="23" t="n">
        <x:f>D19*D20*D21*D7/1000</x:f>
        <x:v>558</x:v>
      </x:c>
      <x:c r="E22" s="23" t="n">
        <x:f>E19*E20*E21*E7/1000</x:f>
        <x:v>540</x:v>
      </x:c>
      <x:c r="F22" s="23" t="n">
        <x:f>F19*F20*F21*F7/1000</x:f>
        <x:v>558</x:v>
      </x:c>
      <x:c r="G22" s="23" t="n">
        <x:f>G19*G20*G21*G7/1000</x:f>
        <x:v>558</x:v>
      </x:c>
      <x:c r="H22" s="23" t="n">
        <x:f>H19*H20*H21*H7/1000</x:f>
        <x:v>540</x:v>
      </x:c>
      <x:c r="I22" s="23" t="n">
        <x:f>I19*I20*I21*I7/1000</x:f>
        <x:v>558</x:v>
      </x:c>
      <x:c r="J22" s="23" t="n">
        <x:f>J19*J20*J21*J7/1000</x:f>
        <x:v>540</x:v>
      </x:c>
      <x:c r="K22" s="23" t="n">
        <x:f>K19*K20*K21*K7/1000</x:f>
        <x:v>558</x:v>
      </x:c>
      <x:c r="L22" s="23" t="n">
        <x:f>L19*L20*L21*L7/1000</x:f>
        <x:v>558</x:v>
      </x:c>
      <x:c r="M22" s="23" t="n">
        <x:f>M19*M20*M21*M7/1000</x:f>
        <x:v>504</x:v>
      </x:c>
      <x:c r="N22" s="23" t="n">
        <x:f>N19*N20*N21*N7/1000</x:f>
        <x:v>558</x:v>
      </x:c>
      <x:c r="O22" s="23" t="n">
        <x:f>O19*O20*O21*O7/1000</x:f>
        <x:v>540</x:v>
      </x:c>
      <x:c r="P22" s="23" t="n">
        <x:f>P19*P20*P21*P7/1000</x:f>
        <x:v>558</x:v>
      </x:c>
      <x:c r="Q22" s="23" t="n">
        <x:f>Q19*Q20*Q21*Q7/1000</x:f>
        <x:v>540</x:v>
      </x:c>
      <x:c r="R22" s="23" t="n">
        <x:f>R19*R20*R21*R7/1000</x:f>
        <x:v>558</x:v>
      </x:c>
      <x:c r="S22" s="23" t="n">
        <x:f>S19*S20*S21*S7/1000</x:f>
        <x:v>558</x:v>
      </x:c>
      <x:c r="T22" s="23" t="n">
        <x:f>T19*T20*T21*T7/1000</x:f>
        <x:v>540</x:v>
      </x:c>
      <x:c r="U22" s="23" t="n">
        <x:f>U19*U20*U21*U7/1000</x:f>
        <x:v>558</x:v>
      </x:c>
      <x:c r="V22" s="23" t="n">
        <x:f>V19*V20*V21*V7/1000</x:f>
        <x:v>540</x:v>
      </x:c>
      <x:c r="W22" s="23" t="n">
        <x:f>W19*W20*W21*W7/1000</x:f>
        <x:v>558</x:v>
      </x:c>
      <x:c r="X22" s="23" t="n">
        <x:f>X19*X20*X21*X7/1000</x:f>
        <x:v>558</x:v>
      </x:c>
      <x:c r="Y22" s="23" t="n">
        <x:f>Y19*Y20*Y21*Y7/1000</x:f>
        <x:v>522</x:v>
      </x:c>
      <x:c r="Z22" s="23" t="n">
        <x:f>Z19*Z20*Z21*Z7/1000</x:f>
        <x:v>558</x:v>
      </x:c>
      <x:c r="AA22" s="23" t="n">
        <x:f>AA19*AA20*AA21*AA7/1000</x:f>
        <x:v>540</x:v>
      </x:c>
      <x:c r="AB22" s="23" t="n">
        <x:f>AB19*AB20*AB21*AB7/1000</x:f>
        <x:v>558</x:v>
      </x:c>
      <x:c r="AC22" s="23" t="n">
        <x:f>AC19*AC20*AC21*AC7/1000</x:f>
        <x:v>540</x:v>
      </x:c>
      <x:c r="AD22" s="23" t="n">
        <x:f>AD19*AD20*AD21*AD7/1000</x:f>
        <x:v>558</x:v>
      </x:c>
      <x:c r="AE22" s="23" t="n">
        <x:f>AE19*AE20*AE21*AE7/1000</x:f>
        <x:v>558</x:v>
      </x:c>
      <x:c r="AF22" s="23" t="n">
        <x:f>AF19*AF20*AF21*AF7/1000</x:f>
        <x:v>540</x:v>
      </x:c>
      <x:c r="AG22" s="23" t="n">
        <x:f>AG19*AG20*AG21*AG7/1000</x:f>
        <x:v>558</x:v>
      </x:c>
      <x:c r="AH22" s="23" t="n">
        <x:f>AH19*AH20*AH21*AH7/1000</x:f>
        <x:v>540</x:v>
      </x:c>
      <x:c r="AI22" s="23" t="n">
        <x:f>AI19*AI20*AI21*AI7/1000</x:f>
        <x:v>558</x:v>
      </x:c>
      <x:c r="AJ22" s="23" t="n">
        <x:f>AJ19*AJ20*AJ21*AJ7/1000</x:f>
        <x:v>558</x:v>
      </x:c>
      <x:c r="AK22" s="23" t="n">
        <x:f>AK19*AK20*AK21*AK7/1000</x:f>
        <x:v>504</x:v>
      </x:c>
      <x:c r="AL22" s="23" t="n">
        <x:f>AL19*AL20*AL21*AL7/1000</x:f>
        <x:v>558</x:v>
      </x:c>
      <x:c r="AM22" s="23" t="n">
        <x:f>AM19*AM20*AM21*AM7/1000</x:f>
        <x:v>540</x:v>
      </x:c>
      <x:c r="AN22" s="23" t="n">
        <x:f>AN19*AN20*AN21*AN7/1000</x:f>
        <x:v>558</x:v>
      </x:c>
      <x:c r="AO22" s="23" t="n">
        <x:f>AO19*AO20*AO21*AO7/1000</x:f>
        <x:v>540</x:v>
      </x:c>
      <x:c r="AP22" s="23" t="n">
        <x:f>AP19*AP20*AP21*AP7/1000</x:f>
        <x:v>558</x:v>
      </x:c>
      <x:c r="AQ22" s="23" t="n">
        <x:f>AQ19*AQ20*AQ21*AQ7/1000</x:f>
        <x:v>558</x:v>
      </x:c>
      <x:c r="AR22" s="23" t="n">
        <x:f>AR19*AR20*AR21*AR7/1000</x:f>
        <x:v>540</x:v>
      </x:c>
      <x:c r="AS22" s="23" t="n">
        <x:f>AS19*AS20*AS21*AS7/1000</x:f>
        <x:v>558</x:v>
      </x:c>
      <x:c r="AT22" s="23" t="n">
        <x:f>AT19*AT20*AT21*AT7/1000</x:f>
        <x:v>540</x:v>
      </x:c>
      <x:c r="AU22" s="23" t="n">
        <x:f>AU19*AU20*AU21*AU7/1000</x:f>
        <x:v>558</x:v>
      </x:c>
      <x:c r="AV22" s="23" t="n">
        <x:f>AV19*AV20*AV21*AV7/1000</x:f>
        <x:v>558</x:v>
      </x:c>
      <x:c r="AW22" s="23" t="n">
        <x:f>AW19*AW20*AW21*AW7/1000</x:f>
        <x:v>504</x:v>
      </x:c>
      <x:c r="AX22" s="23" t="n">
        <x:f>AX19*AX20*AX21*AX7/1000</x:f>
        <x:v>558</x:v>
      </x:c>
      <x:c r="AY22" s="23" t="n">
        <x:f>AY19*AY20*AY21*AY7/1000</x:f>
        <x:v>540</x:v>
      </x:c>
      <x:c r="AZ22" s="23" t="n">
        <x:f>AZ19*AZ20*AZ21*AZ7/1000</x:f>
        <x:v>558</x:v>
      </x:c>
      <x:c r="BA22" s="23" t="n">
        <x:f>BA19*BA20*BA21*BA7/1000</x:f>
        <x:v>540</x:v>
      </x:c>
      <x:c r="BB22" s="23" t="n">
        <x:f>BB19*BB20*BB21*BB7/1000</x:f>
        <x:v>558</x:v>
      </x:c>
      <x:c r="BC22" s="23" t="n">
        <x:f>BC19*BC20*BC21*BC7/1000</x:f>
        <x:v>558</x:v>
      </x:c>
      <x:c r="BD22" s="23" t="n">
        <x:f>BD19*BD20*BD21*BD7/1000</x:f>
        <x:v>540</x:v>
      </x:c>
      <x:c r="BE22" s="23" t="n">
        <x:f>BE19*BE20*BE21*BE7/1000</x:f>
        <x:v>558</x:v>
      </x:c>
      <x:c r="BF22" s="23" t="n">
        <x:f>BF19*BF20*BF21*BF7/1000</x:f>
        <x:v>540</x:v>
      </x:c>
      <x:c r="BG22" s="23" t="n">
        <x:f>BG19*BG20*BG21*BG7/1000</x:f>
        <x:v>558</x:v>
      </x:c>
      <x:c r="BH22" s="23" t="n">
        <x:f>BH19*BH20*BH21*BH7/1000</x:f>
        <x:v>558</x:v>
      </x:c>
      <x:c r="BI22" s="23" t="n">
        <x:f>BI19*BI20*BI21*BI7/1000</x:f>
        <x:v>504</x:v>
      </x:c>
      <x:c r="BJ22" s="23" t="n">
        <x:f>BJ19*BJ20*BJ21*BJ7/1000</x:f>
        <x:v>558</x:v>
      </x:c>
    </x:row>
    <x:row r="23">
      <x:c r="A23" s="13" t="str">
        <x:v>人件費_合計</x:v>
      </x:c>
      <x:c r="B23" s="13" t="str">
        <x:v>直接人件費合計</x:v>
      </x:c>
      <x:c r="C23" s="23" t="n">
        <x:f>SUM(C18,C22)</x:f>
        <x:v>1080</x:v>
      </x:c>
      <x:c r="D23" s="23" t="n">
        <x:f>SUM(D18,D22)</x:f>
        <x:v>1116</x:v>
      </x:c>
      <x:c r="E23" s="23" t="n">
        <x:f>SUM(E18,E22)</x:f>
        <x:v>1080</x:v>
      </x:c>
      <x:c r="F23" s="23" t="n">
        <x:f>SUM(F18,F22)</x:f>
        <x:v>1116</x:v>
      </x:c>
      <x:c r="G23" s="23" t="n">
        <x:f>SUM(G18,G22)</x:f>
        <x:v>1116</x:v>
      </x:c>
      <x:c r="H23" s="23" t="n">
        <x:f>SUM(H18,H22)</x:f>
        <x:v>1080</x:v>
      </x:c>
      <x:c r="I23" s="23" t="n">
        <x:f>SUM(I18,I22)</x:f>
        <x:v>1116</x:v>
      </x:c>
      <x:c r="J23" s="23" t="n">
        <x:f>SUM(J18,J22)</x:f>
        <x:v>1080</x:v>
      </x:c>
      <x:c r="K23" s="23" t="n">
        <x:f>SUM(K18,K22)</x:f>
        <x:v>1116</x:v>
      </x:c>
      <x:c r="L23" s="23" t="n">
        <x:f>SUM(L18,L22)</x:f>
        <x:v>1116</x:v>
      </x:c>
      <x:c r="M23" s="23" t="n">
        <x:f>SUM(M18,M22)</x:f>
        <x:v>1008</x:v>
      </x:c>
      <x:c r="N23" s="23" t="n">
        <x:f>SUM(N18,N22)</x:f>
        <x:v>1116</x:v>
      </x:c>
      <x:c r="O23" s="23" t="n">
        <x:f>SUM(O18,O22)</x:f>
        <x:v>1080</x:v>
      </x:c>
      <x:c r="P23" s="23" t="n">
        <x:f>SUM(P18,P22)</x:f>
        <x:v>1116</x:v>
      </x:c>
      <x:c r="Q23" s="23" t="n">
        <x:f>SUM(Q18,Q22)</x:f>
        <x:v>1080</x:v>
      </x:c>
      <x:c r="R23" s="23" t="n">
        <x:f>SUM(R18,R22)</x:f>
        <x:v>1116</x:v>
      </x:c>
      <x:c r="S23" s="23" t="n">
        <x:f>SUM(S18,S22)</x:f>
        <x:v>1116</x:v>
      </x:c>
      <x:c r="T23" s="23" t="n">
        <x:f>SUM(T18,T22)</x:f>
        <x:v>1080</x:v>
      </x:c>
      <x:c r="U23" s="23" t="n">
        <x:f>SUM(U18,U22)</x:f>
        <x:v>1116</x:v>
      </x:c>
      <x:c r="V23" s="23" t="n">
        <x:f>SUM(V18,V22)</x:f>
        <x:v>1080</x:v>
      </x:c>
      <x:c r="W23" s="23" t="n">
        <x:f>SUM(W18,W22)</x:f>
        <x:v>1116</x:v>
      </x:c>
      <x:c r="X23" s="23" t="n">
        <x:f>SUM(X18,X22)</x:f>
        <x:v>1116</x:v>
      </x:c>
      <x:c r="Y23" s="23" t="n">
        <x:f>SUM(Y18,Y22)</x:f>
        <x:v>1044</x:v>
      </x:c>
      <x:c r="Z23" s="23" t="n">
        <x:f>SUM(Z18,Z22)</x:f>
        <x:v>1116</x:v>
      </x:c>
      <x:c r="AA23" s="23" t="n">
        <x:f>SUM(AA18,AA22)</x:f>
        <x:v>1080</x:v>
      </x:c>
      <x:c r="AB23" s="23" t="n">
        <x:f>SUM(AB18,AB22)</x:f>
        <x:v>1116</x:v>
      </x:c>
      <x:c r="AC23" s="23" t="n">
        <x:f>SUM(AC18,AC22)</x:f>
        <x:v>1080</x:v>
      </x:c>
      <x:c r="AD23" s="23" t="n">
        <x:f>SUM(AD18,AD22)</x:f>
        <x:v>1116</x:v>
      </x:c>
      <x:c r="AE23" s="23" t="n">
        <x:f>SUM(AE18,AE22)</x:f>
        <x:v>1116</x:v>
      </x:c>
      <x:c r="AF23" s="23" t="n">
        <x:f>SUM(AF18,AF22)</x:f>
        <x:v>1080</x:v>
      </x:c>
      <x:c r="AG23" s="23" t="n">
        <x:f>SUM(AG18,AG22)</x:f>
        <x:v>1116</x:v>
      </x:c>
      <x:c r="AH23" s="23" t="n">
        <x:f>SUM(AH18,AH22)</x:f>
        <x:v>1080</x:v>
      </x:c>
      <x:c r="AI23" s="23" t="n">
        <x:f>SUM(AI18,AI22)</x:f>
        <x:v>1116</x:v>
      </x:c>
      <x:c r="AJ23" s="23" t="n">
        <x:f>SUM(AJ18,AJ22)</x:f>
        <x:v>1116</x:v>
      </x:c>
      <x:c r="AK23" s="23" t="n">
        <x:f>SUM(AK18,AK22)</x:f>
        <x:v>1008</x:v>
      </x:c>
      <x:c r="AL23" s="23" t="n">
        <x:f>SUM(AL18,AL22)</x:f>
        <x:v>1116</x:v>
      </x:c>
      <x:c r="AM23" s="23" t="n">
        <x:f>SUM(AM18,AM22)</x:f>
        <x:v>1080</x:v>
      </x:c>
      <x:c r="AN23" s="23" t="n">
        <x:f>SUM(AN18,AN22)</x:f>
        <x:v>1116</x:v>
      </x:c>
      <x:c r="AO23" s="23" t="n">
        <x:f>SUM(AO18,AO22)</x:f>
        <x:v>1080</x:v>
      </x:c>
      <x:c r="AP23" s="23" t="n">
        <x:f>SUM(AP18,AP22)</x:f>
        <x:v>1116</x:v>
      </x:c>
      <x:c r="AQ23" s="23" t="n">
        <x:f>SUM(AQ18,AQ22)</x:f>
        <x:v>1116</x:v>
      </x:c>
      <x:c r="AR23" s="23" t="n">
        <x:f>SUM(AR18,AR22)</x:f>
        <x:v>1080</x:v>
      </x:c>
      <x:c r="AS23" s="23" t="n">
        <x:f>SUM(AS18,AS22)</x:f>
        <x:v>1116</x:v>
      </x:c>
      <x:c r="AT23" s="23" t="n">
        <x:f>SUM(AT18,AT22)</x:f>
        <x:v>1080</x:v>
      </x:c>
      <x:c r="AU23" s="23" t="n">
        <x:f>SUM(AU18,AU22)</x:f>
        <x:v>1116</x:v>
      </x:c>
      <x:c r="AV23" s="23" t="n">
        <x:f>SUM(AV18,AV22)</x:f>
        <x:v>1116</x:v>
      </x:c>
      <x:c r="AW23" s="23" t="n">
        <x:f>SUM(AW18,AW22)</x:f>
        <x:v>1008</x:v>
      </x:c>
      <x:c r="AX23" s="23" t="n">
        <x:f>SUM(AX18,AX22)</x:f>
        <x:v>1116</x:v>
      </x:c>
      <x:c r="AY23" s="23" t="n">
        <x:f>SUM(AY18,AY22)</x:f>
        <x:v>1080</x:v>
      </x:c>
      <x:c r="AZ23" s="23" t="n">
        <x:f>SUM(AZ18,AZ22)</x:f>
        <x:v>1116</x:v>
      </x:c>
      <x:c r="BA23" s="23" t="n">
        <x:f>SUM(BA18,BA22)</x:f>
        <x:v>1080</x:v>
      </x:c>
      <x:c r="BB23" s="23" t="n">
        <x:f>SUM(BB18,BB22)</x:f>
        <x:v>1116</x:v>
      </x:c>
      <x:c r="BC23" s="23" t="n">
        <x:f>SUM(BC18,BC22)</x:f>
        <x:v>1116</x:v>
      </x:c>
      <x:c r="BD23" s="23" t="n">
        <x:f>SUM(BD18,BD22)</x:f>
        <x:v>1080</x:v>
      </x:c>
      <x:c r="BE23" s="23" t="n">
        <x:f>SUM(BE18,BE22)</x:f>
        <x:v>1116</x:v>
      </x:c>
      <x:c r="BF23" s="23" t="n">
        <x:f>SUM(BF18,BF22)</x:f>
        <x:v>1080</x:v>
      </x:c>
      <x:c r="BG23" s="23" t="n">
        <x:f>SUM(BG18,BG22)</x:f>
        <x:v>1116</x:v>
      </x:c>
      <x:c r="BH23" s="23" t="n">
        <x:f>SUM(BH18,BH22)</x:f>
        <x:v>1116</x:v>
      </x:c>
      <x:c r="BI23" s="23" t="n">
        <x:f>SUM(BI18,BI22)</x:f>
        <x:v>1008</x:v>
      </x:c>
      <x:c r="BJ23" s="23" t="n">
        <x:f>SUM(BJ18,BJ22)</x:f>
        <x:v>1116</x:v>
      </x:c>
    </x:row>
    <x:row r="24">
      <x:c r="A24" s="13" t="str">
        <x:v>変動費</x:v>
      </x:c>
      <x:c r="B24" s="13" t="str">
        <x:v>OTA手数料率</x:v>
      </x:c>
      <x:c r="C24" s="26" t="n">
        <x:v>0.12</x:v>
      </x:c>
      <x:c r="D24" s="26" t="n">
        <x:v>0.12</x:v>
      </x:c>
      <x:c r="E24" s="26" t="n">
        <x:v>0.12</x:v>
      </x:c>
      <x:c r="F24" s="26" t="n">
        <x:v>0.12</x:v>
      </x:c>
      <x:c r="G24" s="26" t="n">
        <x:v>0.12</x:v>
      </x:c>
      <x:c r="H24" s="26" t="n">
        <x:v>0.12</x:v>
      </x:c>
      <x:c r="I24" s="26" t="n">
        <x:v>0.12</x:v>
      </x:c>
      <x:c r="J24" s="26" t="n">
        <x:v>0.12</x:v>
      </x:c>
      <x:c r="K24" s="26" t="n">
        <x:v>0.12</x:v>
      </x:c>
      <x:c r="L24" s="26" t="n">
        <x:v>0.12</x:v>
      </x:c>
      <x:c r="M24" s="26" t="n">
        <x:v>0.12</x:v>
      </x:c>
      <x:c r="N24" s="26" t="n">
        <x:v>0.12</x:v>
      </x:c>
      <x:c r="O24" s="26" t="n">
        <x:v>0.12</x:v>
      </x:c>
      <x:c r="P24" s="26" t="n">
        <x:v>0.12</x:v>
      </x:c>
      <x:c r="Q24" s="26" t="n">
        <x:v>0.12</x:v>
      </x:c>
      <x:c r="R24" s="26" t="n">
        <x:v>0.12</x:v>
      </x:c>
      <x:c r="S24" s="26" t="n">
        <x:v>0.12</x:v>
      </x:c>
      <x:c r="T24" s="26" t="n">
        <x:v>0.12</x:v>
      </x:c>
      <x:c r="U24" s="26" t="n">
        <x:v>0.12</x:v>
      </x:c>
      <x:c r="V24" s="26" t="n">
        <x:v>0.12</x:v>
      </x:c>
      <x:c r="W24" s="26" t="n">
        <x:v>0.12</x:v>
      </x:c>
      <x:c r="X24" s="26" t="n">
        <x:v>0.12</x:v>
      </x:c>
      <x:c r="Y24" s="26" t="n">
        <x:v>0.12</x:v>
      </x:c>
      <x:c r="Z24" s="26" t="n">
        <x:v>0.12</x:v>
      </x:c>
      <x:c r="AA24" s="26" t="n">
        <x:v>0.12</x:v>
      </x:c>
      <x:c r="AB24" s="26" t="n">
        <x:v>0.12</x:v>
      </x:c>
      <x:c r="AC24" s="26" t="n">
        <x:v>0.12</x:v>
      </x:c>
      <x:c r="AD24" s="26" t="n">
        <x:v>0.12</x:v>
      </x:c>
      <x:c r="AE24" s="26" t="n">
        <x:v>0.12</x:v>
      </x:c>
      <x:c r="AF24" s="26" t="n">
        <x:v>0.12</x:v>
      </x:c>
      <x:c r="AG24" s="26" t="n">
        <x:v>0.12</x:v>
      </x:c>
      <x:c r="AH24" s="26" t="n">
        <x:v>0.12</x:v>
      </x:c>
      <x:c r="AI24" s="26" t="n">
        <x:v>0.12</x:v>
      </x:c>
      <x:c r="AJ24" s="26" t="n">
        <x:v>0.12</x:v>
      </x:c>
      <x:c r="AK24" s="26" t="n">
        <x:v>0.12</x:v>
      </x:c>
      <x:c r="AL24" s="26" t="n">
        <x:v>0.12</x:v>
      </x:c>
      <x:c r="AM24" s="26" t="n">
        <x:v>0.12</x:v>
      </x:c>
      <x:c r="AN24" s="26" t="n">
        <x:v>0.12</x:v>
      </x:c>
      <x:c r="AO24" s="26" t="n">
        <x:v>0.12</x:v>
      </x:c>
      <x:c r="AP24" s="26" t="n">
        <x:v>0.12</x:v>
      </x:c>
      <x:c r="AQ24" s="26" t="n">
        <x:v>0.12</x:v>
      </x:c>
      <x:c r="AR24" s="26" t="n">
        <x:v>0.12</x:v>
      </x:c>
      <x:c r="AS24" s="26" t="n">
        <x:v>0.12</x:v>
      </x:c>
      <x:c r="AT24" s="26" t="n">
        <x:v>0.12</x:v>
      </x:c>
      <x:c r="AU24" s="26" t="n">
        <x:v>0.12</x:v>
      </x:c>
      <x:c r="AV24" s="26" t="n">
        <x:v>0.12</x:v>
      </x:c>
      <x:c r="AW24" s="26" t="n">
        <x:v>0.12</x:v>
      </x:c>
      <x:c r="AX24" s="26" t="n">
        <x:v>0.12</x:v>
      </x:c>
      <x:c r="AY24" s="26" t="n">
        <x:v>0.12</x:v>
      </x:c>
      <x:c r="AZ24" s="26" t="n">
        <x:v>0.12</x:v>
      </x:c>
      <x:c r="BA24" s="26" t="n">
        <x:v>0.12</x:v>
      </x:c>
      <x:c r="BB24" s="26" t="n">
        <x:v>0.12</x:v>
      </x:c>
      <x:c r="BC24" s="26" t="n">
        <x:v>0.12</x:v>
      </x:c>
      <x:c r="BD24" s="26" t="n">
        <x:v>0.12</x:v>
      </x:c>
      <x:c r="BE24" s="26" t="n">
        <x:v>0.12</x:v>
      </x:c>
      <x:c r="BF24" s="26" t="n">
        <x:v>0.12</x:v>
      </x:c>
      <x:c r="BG24" s="26" t="n">
        <x:v>0.12</x:v>
      </x:c>
      <x:c r="BH24" s="26" t="n">
        <x:v>0.12</x:v>
      </x:c>
      <x:c r="BI24" s="26" t="n">
        <x:v>0.12</x:v>
      </x:c>
      <x:c r="BJ24" s="26" t="n">
        <x:v>0.12</x:v>
      </x:c>
    </x:row>
    <x:row r="25">
      <x:c r="A25" s="13" t="str">
        <x:v>変動費</x:v>
      </x:c>
      <x:c r="B25" s="13" t="str">
        <x:v>OTA手数料</x:v>
      </x:c>
      <x:c r="C25" s="23" t="n">
        <x:f>C12*C24</x:f>
        <x:v>298.908</x:v>
      </x:c>
      <x:c r="D25" s="23" t="n">
        <x:f>D12*D24</x:f>
        <x:v>308.87159999999994</x:v>
      </x:c>
      <x:c r="E25" s="23" t="n">
        <x:f>E12*E24</x:f>
        <x:v>298.908</x:v>
      </x:c>
      <x:c r="F25" s="23" t="n">
        <x:f>F12*F24</x:f>
        <x:v>720.9360000000001</x:v>
      </x:c>
      <x:c r="G25" s="23" t="n">
        <x:f>G12*G24</x:f>
        <x:v>720.9360000000001</x:v>
      </x:c>
      <x:c r="H25" s="23" t="n">
        <x:f>H12*H24</x:f>
        <x:v>298.908</x:v>
      </x:c>
      <x:c r="I25" s="23" t="n">
        <x:f>I12*I24</x:f>
        <x:v>308.87159999999994</x:v>
      </x:c>
      <x:c r="J25" s="23" t="n">
        <x:f>J12*J24</x:f>
        <x:v>298.908</x:v>
      </x:c>
      <x:c r="K25" s="23" t="n">
        <x:f>K12*K24</x:f>
        <x:v>720.9360000000001</x:v>
      </x:c>
      <x:c r="L25" s="23" t="n">
        <x:f>L12*L24</x:f>
        <x:v>1072.2155999999998</x:v>
      </x:c>
      <x:c r="M25" s="23" t="n">
        <x:f>M12*M24</x:f>
        <x:v>968.4527999999998</x:v>
      </x:c>
      <x:c r="N25" s="23" t="n">
        <x:f>N12*N24</x:f>
        <x:v>406.40999999999997</x:v>
      </x:c>
      <x:c r="O25" s="23" t="n">
        <x:f>O12*O24</x:f>
        <x:v>298.908</x:v>
      </x:c>
      <x:c r="P25" s="23" t="n">
        <x:f>P12*P24</x:f>
        <x:v>308.87159999999994</x:v>
      </x:c>
      <x:c r="Q25" s="23" t="n">
        <x:f>Q12*Q24</x:f>
        <x:v>298.908</x:v>
      </x:c>
      <x:c r="R25" s="23" t="n">
        <x:f>R12*R24</x:f>
        <x:v>720.9360000000001</x:v>
      </x:c>
      <x:c r="S25" s="23" t="n">
        <x:f>S12*S24</x:f>
        <x:v>720.9360000000001</x:v>
      </x:c>
      <x:c r="T25" s="23" t="n">
        <x:f>T12*T24</x:f>
        <x:v>298.908</x:v>
      </x:c>
      <x:c r="U25" s="23" t="n">
        <x:f>U12*U24</x:f>
        <x:v>308.87159999999994</x:v>
      </x:c>
      <x:c r="V25" s="23" t="n">
        <x:f>V12*V24</x:f>
        <x:v>298.908</x:v>
      </x:c>
      <x:c r="W25" s="23" t="n">
        <x:f>W12*W24</x:f>
        <x:v>720.9360000000001</x:v>
      </x:c>
      <x:c r="X25" s="23" t="n">
        <x:f>X12*X24</x:f>
        <x:v>1072.2155999999998</x:v>
      </x:c>
      <x:c r="Y25" s="23" t="n">
        <x:f>Y12*Y24</x:f>
        <x:v>1003.0404</x:v>
      </x:c>
      <x:c r="Z25" s="23" t="n">
        <x:f>Z12*Z24</x:f>
        <x:v>406.40999999999997</x:v>
      </x:c>
      <x:c r="AA25" s="23" t="n">
        <x:f>AA12*AA24</x:f>
        <x:v>298.908</x:v>
      </x:c>
      <x:c r="AB25" s="23" t="n">
        <x:f>AB12*AB24</x:f>
        <x:v>308.87159999999994</x:v>
      </x:c>
      <x:c r="AC25" s="23" t="n">
        <x:f>AC12*AC24</x:f>
        <x:v>298.908</x:v>
      </x:c>
      <x:c r="AD25" s="23" t="n">
        <x:f>AD12*AD24</x:f>
        <x:v>720.9360000000001</x:v>
      </x:c>
      <x:c r="AE25" s="23" t="n">
        <x:f>AE12*AE24</x:f>
        <x:v>720.9360000000001</x:v>
      </x:c>
      <x:c r="AF25" s="23" t="n">
        <x:f>AF12*AF24</x:f>
        <x:v>298.908</x:v>
      </x:c>
      <x:c r="AG25" s="23" t="n">
        <x:f>AG12*AG24</x:f>
        <x:v>308.87159999999994</x:v>
      </x:c>
      <x:c r="AH25" s="23" t="n">
        <x:f>AH12*AH24</x:f>
        <x:v>298.908</x:v>
      </x:c>
      <x:c r="AI25" s="23" t="n">
        <x:f>AI12*AI24</x:f>
        <x:v>720.9360000000001</x:v>
      </x:c>
      <x:c r="AJ25" s="23" t="n">
        <x:f>AJ12*AJ24</x:f>
        <x:v>1072.2155999999998</x:v>
      </x:c>
      <x:c r="AK25" s="23" t="n">
        <x:f>AK12*AK24</x:f>
        <x:v>968.4527999999998</x:v>
      </x:c>
      <x:c r="AL25" s="23" t="n">
        <x:f>AL12*AL24</x:f>
        <x:v>406.40999999999997</x:v>
      </x:c>
      <x:c r="AM25" s="23" t="n">
        <x:f>AM12*AM24</x:f>
        <x:v>298.908</x:v>
      </x:c>
      <x:c r="AN25" s="23" t="n">
        <x:f>AN12*AN24</x:f>
        <x:v>308.87159999999994</x:v>
      </x:c>
      <x:c r="AO25" s="23" t="n">
        <x:f>AO12*AO24</x:f>
        <x:v>298.908</x:v>
      </x:c>
      <x:c r="AP25" s="23" t="n">
        <x:f>AP12*AP24</x:f>
        <x:v>720.9360000000001</x:v>
      </x:c>
      <x:c r="AQ25" s="23" t="n">
        <x:f>AQ12*AQ24</x:f>
        <x:v>720.9360000000001</x:v>
      </x:c>
      <x:c r="AR25" s="23" t="n">
        <x:f>AR12*AR24</x:f>
        <x:v>298.908</x:v>
      </x:c>
      <x:c r="AS25" s="23" t="n">
        <x:f>AS12*AS24</x:f>
        <x:v>308.87159999999994</x:v>
      </x:c>
      <x:c r="AT25" s="23" t="n">
        <x:f>AT12*AT24</x:f>
        <x:v>298.908</x:v>
      </x:c>
      <x:c r="AU25" s="23" t="n">
        <x:f>AU12*AU24</x:f>
        <x:v>720.9360000000001</x:v>
      </x:c>
      <x:c r="AV25" s="23" t="n">
        <x:f>AV12*AV24</x:f>
        <x:v>1072.2155999999998</x:v>
      </x:c>
      <x:c r="AW25" s="23" t="n">
        <x:f>AW12*AW24</x:f>
        <x:v>968.4527999999998</x:v>
      </x:c>
      <x:c r="AX25" s="23" t="n">
        <x:f>AX12*AX24</x:f>
        <x:v>406.40999999999997</x:v>
      </x:c>
      <x:c r="AY25" s="23" t="n">
        <x:f>AY12*AY24</x:f>
        <x:v>298.908</x:v>
      </x:c>
      <x:c r="AZ25" s="23" t="n">
        <x:f>AZ12*AZ24</x:f>
        <x:v>308.87159999999994</x:v>
      </x:c>
      <x:c r="BA25" s="23" t="n">
        <x:f>BA12*BA24</x:f>
        <x:v>298.908</x:v>
      </x:c>
      <x:c r="BB25" s="23" t="n">
        <x:f>BB12*BB24</x:f>
        <x:v>720.9360000000001</x:v>
      </x:c>
      <x:c r="BC25" s="23" t="n">
        <x:f>BC12*BC24</x:f>
        <x:v>720.9360000000001</x:v>
      </x:c>
      <x:c r="BD25" s="23" t="n">
        <x:f>BD12*BD24</x:f>
        <x:v>298.908</x:v>
      </x:c>
      <x:c r="BE25" s="23" t="n">
        <x:f>BE12*BE24</x:f>
        <x:v>308.87159999999994</x:v>
      </x:c>
      <x:c r="BF25" s="23" t="n">
        <x:f>BF12*BF24</x:f>
        <x:v>298.908</x:v>
      </x:c>
      <x:c r="BG25" s="23" t="n">
        <x:f>BG12*BG24</x:f>
        <x:v>720.9360000000001</x:v>
      </x:c>
      <x:c r="BH25" s="23" t="n">
        <x:f>BH12*BH24</x:f>
        <x:v>1072.2155999999998</x:v>
      </x:c>
      <x:c r="BI25" s="23" t="n">
        <x:f>BI12*BI24</x:f>
        <x:v>968.4527999999998</x:v>
      </x:c>
      <x:c r="BJ25" s="23" t="n">
        <x:f>BJ12*BJ24</x:f>
        <x:v>406.40999999999997</x:v>
      </x:c>
    </x:row>
    <x:row r="26">
      <x:c r="A26" s="13" t="str">
        <x:v>変動費</x:v>
      </x:c>
      <x:c r="B26" s="13" t="str">
        <x:v>リネン費</x:v>
      </x:c>
      <x:c r="C26" s="22" t="n">
        <x:f>C10*1.2</x:f>
        <x:v>259.91999999999996</x:v>
      </x:c>
      <x:c r="D26" s="22" t="n">
        <x:f>D10*1.2</x:f>
        <x:v>268.584</x:v>
      </x:c>
      <x:c r="E26" s="22" t="n">
        <x:f>E10*1.2</x:f>
        <x:v>259.91999999999996</x:v>
      </x:c>
      <x:c r="F26" s="22" t="n">
        <x:f>F10*1.2</x:f>
        <x:v>480.624</x:v>
      </x:c>
      <x:c r="G26" s="22" t="n">
        <x:f>G10*1.2</x:f>
        <x:v>480.624</x:v>
      </x:c>
      <x:c r="H26" s="22" t="n">
        <x:f>H10*1.2</x:f>
        <x:v>259.91999999999996</x:v>
      </x:c>
      <x:c r="I26" s="22" t="n">
        <x:f>I10*1.2</x:f>
        <x:v>268.584</x:v>
      </x:c>
      <x:c r="J26" s="22" t="n">
        <x:f>J10*1.2</x:f>
        <x:v>259.91999999999996</x:v>
      </x:c>
      <x:c r="K26" s="22" t="n">
        <x:f>K10*1.2</x:f>
        <x:v>480.624</x:v>
      </x:c>
      <x:c r="L26" s="22" t="n">
        <x:f>L10*1.2</x:f>
        <x:v>579.5759999999999</x:v>
      </x:c>
      <x:c r="M26" s="22" t="n">
        <x:f>M10*1.2</x:f>
        <x:v>523.4879999999999</x:v>
      </x:c>
      <x:c r="N26" s="22" t="n">
        <x:f>N10*1.2</x:f>
        <x:v>353.4</x:v>
      </x:c>
      <x:c r="O26" s="22" t="n">
        <x:f>O10*1.2</x:f>
        <x:v>259.91999999999996</x:v>
      </x:c>
      <x:c r="P26" s="22" t="n">
        <x:f>P10*1.2</x:f>
        <x:v>268.584</x:v>
      </x:c>
      <x:c r="Q26" s="22" t="n">
        <x:f>Q10*1.2</x:f>
        <x:v>259.91999999999996</x:v>
      </x:c>
      <x:c r="R26" s="22" t="n">
        <x:f>R10*1.2</x:f>
        <x:v>480.624</x:v>
      </x:c>
      <x:c r="S26" s="22" t="n">
        <x:f>S10*1.2</x:f>
        <x:v>480.624</x:v>
      </x:c>
      <x:c r="T26" s="22" t="n">
        <x:f>T10*1.2</x:f>
        <x:v>259.91999999999996</x:v>
      </x:c>
      <x:c r="U26" s="22" t="n">
        <x:f>U10*1.2</x:f>
        <x:v>268.584</x:v>
      </x:c>
      <x:c r="V26" s="22" t="n">
        <x:f>V10*1.2</x:f>
        <x:v>259.91999999999996</x:v>
      </x:c>
      <x:c r="W26" s="22" t="n">
        <x:f>W10*1.2</x:f>
        <x:v>480.624</x:v>
      </x:c>
      <x:c r="X26" s="22" t="n">
        <x:f>X10*1.2</x:f>
        <x:v>579.5759999999999</x:v>
      </x:c>
      <x:c r="Y26" s="22" t="n">
        <x:f>Y10*1.2</x:f>
        <x:v>542.184</x:v>
      </x:c>
      <x:c r="Z26" s="22" t="n">
        <x:f>Z10*1.2</x:f>
        <x:v>353.4</x:v>
      </x:c>
      <x:c r="AA26" s="22" t="n">
        <x:f>AA10*1.2</x:f>
        <x:v>259.91999999999996</x:v>
      </x:c>
      <x:c r="AB26" s="22" t="n">
        <x:f>AB10*1.2</x:f>
        <x:v>268.584</x:v>
      </x:c>
      <x:c r="AC26" s="22" t="n">
        <x:f>AC10*1.2</x:f>
        <x:v>259.91999999999996</x:v>
      </x:c>
      <x:c r="AD26" s="22" t="n">
        <x:f>AD10*1.2</x:f>
        <x:v>480.624</x:v>
      </x:c>
      <x:c r="AE26" s="22" t="n">
        <x:f>AE10*1.2</x:f>
        <x:v>480.624</x:v>
      </x:c>
      <x:c r="AF26" s="22" t="n">
        <x:f>AF10*1.2</x:f>
        <x:v>259.91999999999996</x:v>
      </x:c>
      <x:c r="AG26" s="22" t="n">
        <x:f>AG10*1.2</x:f>
        <x:v>268.584</x:v>
      </x:c>
      <x:c r="AH26" s="22" t="n">
        <x:f>AH10*1.2</x:f>
        <x:v>259.91999999999996</x:v>
      </x:c>
      <x:c r="AI26" s="22" t="n">
        <x:f>AI10*1.2</x:f>
        <x:v>480.624</x:v>
      </x:c>
      <x:c r="AJ26" s="22" t="n">
        <x:f>AJ10*1.2</x:f>
        <x:v>579.5759999999999</x:v>
      </x:c>
      <x:c r="AK26" s="22" t="n">
        <x:f>AK10*1.2</x:f>
        <x:v>523.4879999999999</x:v>
      </x:c>
      <x:c r="AL26" s="22" t="n">
        <x:f>AL10*1.2</x:f>
        <x:v>353.4</x:v>
      </x:c>
      <x:c r="AM26" s="22" t="n">
        <x:f>AM10*1.2</x:f>
        <x:v>259.91999999999996</x:v>
      </x:c>
      <x:c r="AN26" s="22" t="n">
        <x:f>AN10*1.2</x:f>
        <x:v>268.584</x:v>
      </x:c>
      <x:c r="AO26" s="22" t="n">
        <x:f>AO10*1.2</x:f>
        <x:v>259.91999999999996</x:v>
      </x:c>
      <x:c r="AP26" s="22" t="n">
        <x:f>AP10*1.2</x:f>
        <x:v>480.624</x:v>
      </x:c>
      <x:c r="AQ26" s="22" t="n">
        <x:f>AQ10*1.2</x:f>
        <x:v>480.624</x:v>
      </x:c>
      <x:c r="AR26" s="22" t="n">
        <x:f>AR10*1.2</x:f>
        <x:v>259.91999999999996</x:v>
      </x:c>
      <x:c r="AS26" s="22" t="n">
        <x:f>AS10*1.2</x:f>
        <x:v>268.584</x:v>
      </x:c>
      <x:c r="AT26" s="22" t="n">
        <x:f>AT10*1.2</x:f>
        <x:v>259.91999999999996</x:v>
      </x:c>
      <x:c r="AU26" s="22" t="n">
        <x:f>AU10*1.2</x:f>
        <x:v>480.624</x:v>
      </x:c>
      <x:c r="AV26" s="22" t="n">
        <x:f>AV10*1.2</x:f>
        <x:v>579.5759999999999</x:v>
      </x:c>
      <x:c r="AW26" s="22" t="n">
        <x:f>AW10*1.2</x:f>
        <x:v>523.4879999999999</x:v>
      </x:c>
      <x:c r="AX26" s="22" t="n">
        <x:f>AX10*1.2</x:f>
        <x:v>353.4</x:v>
      </x:c>
      <x:c r="AY26" s="22" t="n">
        <x:f>AY10*1.2</x:f>
        <x:v>259.91999999999996</x:v>
      </x:c>
      <x:c r="AZ26" s="22" t="n">
        <x:f>AZ10*1.2</x:f>
        <x:v>268.584</x:v>
      </x:c>
      <x:c r="BA26" s="22" t="n">
        <x:f>BA10*1.2</x:f>
        <x:v>259.91999999999996</x:v>
      </x:c>
      <x:c r="BB26" s="22" t="n">
        <x:f>BB10*1.2</x:f>
        <x:v>480.624</x:v>
      </x:c>
      <x:c r="BC26" s="22" t="n">
        <x:f>BC10*1.2</x:f>
        <x:v>480.624</x:v>
      </x:c>
      <x:c r="BD26" s="22" t="n">
        <x:f>BD10*1.2</x:f>
        <x:v>259.91999999999996</x:v>
      </x:c>
      <x:c r="BE26" s="22" t="n">
        <x:f>BE10*1.2</x:f>
        <x:v>268.584</x:v>
      </x:c>
      <x:c r="BF26" s="22" t="n">
        <x:f>BF10*1.2</x:f>
        <x:v>259.91999999999996</x:v>
      </x:c>
      <x:c r="BG26" s="22" t="n">
        <x:f>BG10*1.2</x:f>
        <x:v>480.624</x:v>
      </x:c>
      <x:c r="BH26" s="22" t="n">
        <x:f>BH10*1.2</x:f>
        <x:v>579.5759999999999</x:v>
      </x:c>
      <x:c r="BI26" s="22" t="n">
        <x:f>BI10*1.2</x:f>
        <x:v>523.4879999999999</x:v>
      </x:c>
      <x:c r="BJ26" s="22" t="n">
        <x:f>BJ10*1.2</x:f>
        <x:v>353.4</x:v>
      </x:c>
    </x:row>
    <x:row r="27">
      <x:c r="A27" s="13" t="str">
        <x:v>変動費</x:v>
      </x:c>
      <x:c r="B27" s="13" t="str">
        <x:v>水道光熱費</x:v>
      </x:c>
      <x:c r="C27" s="22" t="n">
        <x:f>C14*0.08</x:f>
        <x:v>199.27200000000002</x:v>
      </x:c>
      <x:c r="D27" s="22" t="n">
        <x:f>D14*0.08</x:f>
        <x:v>205.9144</x:v>
      </x:c>
      <x:c r="E27" s="22" t="n">
        <x:f>E14*0.08</x:f>
        <x:v>199.27200000000002</x:v>
      </x:c>
      <x:c r="F27" s="22" t="n">
        <x:f>F14*0.08</x:f>
        <x:v>480.6240000000001</x:v>
      </x:c>
      <x:c r="G27" s="22" t="n">
        <x:f>G14*0.08</x:f>
        <x:v>480.6240000000001</x:v>
      </x:c>
      <x:c r="H27" s="22" t="n">
        <x:f>H14*0.08</x:f>
        <x:v>199.27200000000002</x:v>
      </x:c>
      <x:c r="I27" s="22" t="n">
        <x:f>I14*0.08</x:f>
        <x:v>205.9144</x:v>
      </x:c>
      <x:c r="J27" s="22" t="n">
        <x:f>J14*0.08</x:f>
        <x:v>199.27200000000002</x:v>
      </x:c>
      <x:c r="K27" s="22" t="n">
        <x:f>K14*0.08</x:f>
        <x:v>480.6240000000001</x:v>
      </x:c>
      <x:c r="L27" s="22" t="n">
        <x:f>L14*0.08</x:f>
        <x:v>714.8104</x:v>
      </x:c>
      <x:c r="M27" s="22" t="n">
        <x:f>M14*0.08</x:f>
        <x:v>645.6351999999999</x:v>
      </x:c>
      <x:c r="N27" s="22" t="n">
        <x:f>N14*0.08</x:f>
        <x:v>270.94</x:v>
      </x:c>
      <x:c r="O27" s="22" t="n">
        <x:f>O14*0.08</x:f>
        <x:v>199.27200000000002</x:v>
      </x:c>
      <x:c r="P27" s="22" t="n">
        <x:f>P14*0.08</x:f>
        <x:v>205.9144</x:v>
      </x:c>
      <x:c r="Q27" s="22" t="n">
        <x:f>Q14*0.08</x:f>
        <x:v>199.27200000000002</x:v>
      </x:c>
      <x:c r="R27" s="22" t="n">
        <x:f>R14*0.08</x:f>
        <x:v>480.6240000000001</x:v>
      </x:c>
      <x:c r="S27" s="22" t="n">
        <x:f>S14*0.08</x:f>
        <x:v>480.6240000000001</x:v>
      </x:c>
      <x:c r="T27" s="22" t="n">
        <x:f>T14*0.08</x:f>
        <x:v>199.27200000000002</x:v>
      </x:c>
      <x:c r="U27" s="22" t="n">
        <x:f>U14*0.08</x:f>
        <x:v>205.9144</x:v>
      </x:c>
      <x:c r="V27" s="22" t="n">
        <x:f>V14*0.08</x:f>
        <x:v>199.27200000000002</x:v>
      </x:c>
      <x:c r="W27" s="22" t="n">
        <x:f>W14*0.08</x:f>
        <x:v>480.6240000000001</x:v>
      </x:c>
      <x:c r="X27" s="22" t="n">
        <x:f>X14*0.08</x:f>
        <x:v>714.8104</x:v>
      </x:c>
      <x:c r="Y27" s="22" t="n">
        <x:f>Y14*0.08</x:f>
        <x:v>668.6936000000001</x:v>
      </x:c>
      <x:c r="Z27" s="22" t="n">
        <x:f>Z14*0.08</x:f>
        <x:v>270.94</x:v>
      </x:c>
      <x:c r="AA27" s="22" t="n">
        <x:f>AA14*0.08</x:f>
        <x:v>199.27200000000002</x:v>
      </x:c>
      <x:c r="AB27" s="22" t="n">
        <x:f>AB14*0.08</x:f>
        <x:v>205.9144</x:v>
      </x:c>
      <x:c r="AC27" s="22" t="n">
        <x:f>AC14*0.08</x:f>
        <x:v>199.27200000000002</x:v>
      </x:c>
      <x:c r="AD27" s="22" t="n">
        <x:f>AD14*0.08</x:f>
        <x:v>480.6240000000001</x:v>
      </x:c>
      <x:c r="AE27" s="22" t="n">
        <x:f>AE14*0.08</x:f>
        <x:v>480.6240000000001</x:v>
      </x:c>
      <x:c r="AF27" s="22" t="n">
        <x:f>AF14*0.08</x:f>
        <x:v>199.27200000000002</x:v>
      </x:c>
      <x:c r="AG27" s="22" t="n">
        <x:f>AG14*0.08</x:f>
        <x:v>205.9144</x:v>
      </x:c>
      <x:c r="AH27" s="22" t="n">
        <x:f>AH14*0.08</x:f>
        <x:v>199.27200000000002</x:v>
      </x:c>
      <x:c r="AI27" s="22" t="n">
        <x:f>AI14*0.08</x:f>
        <x:v>480.6240000000001</x:v>
      </x:c>
      <x:c r="AJ27" s="22" t="n">
        <x:f>AJ14*0.08</x:f>
        <x:v>714.8104</x:v>
      </x:c>
      <x:c r="AK27" s="22" t="n">
        <x:f>AK14*0.08</x:f>
        <x:v>645.6351999999999</x:v>
      </x:c>
      <x:c r="AL27" s="22" t="n">
        <x:f>AL14*0.08</x:f>
        <x:v>270.94</x:v>
      </x:c>
      <x:c r="AM27" s="22" t="n">
        <x:f>AM14*0.08</x:f>
        <x:v>199.27200000000002</x:v>
      </x:c>
      <x:c r="AN27" s="22" t="n">
        <x:f>AN14*0.08</x:f>
        <x:v>205.9144</x:v>
      </x:c>
      <x:c r="AO27" s="22" t="n">
        <x:f>AO14*0.08</x:f>
        <x:v>199.27200000000002</x:v>
      </x:c>
      <x:c r="AP27" s="22" t="n">
        <x:f>AP14*0.08</x:f>
        <x:v>480.6240000000001</x:v>
      </x:c>
      <x:c r="AQ27" s="22" t="n">
        <x:f>AQ14*0.08</x:f>
        <x:v>480.6240000000001</x:v>
      </x:c>
      <x:c r="AR27" s="22" t="n">
        <x:f>AR14*0.08</x:f>
        <x:v>199.27200000000002</x:v>
      </x:c>
      <x:c r="AS27" s="22" t="n">
        <x:f>AS14*0.08</x:f>
        <x:v>205.9144</x:v>
      </x:c>
      <x:c r="AT27" s="22" t="n">
        <x:f>AT14*0.08</x:f>
        <x:v>199.27200000000002</x:v>
      </x:c>
      <x:c r="AU27" s="22" t="n">
        <x:f>AU14*0.08</x:f>
        <x:v>480.6240000000001</x:v>
      </x:c>
      <x:c r="AV27" s="22" t="n">
        <x:f>AV14*0.08</x:f>
        <x:v>714.8104</x:v>
      </x:c>
      <x:c r="AW27" s="22" t="n">
        <x:f>AW14*0.08</x:f>
        <x:v>645.6351999999999</x:v>
      </x:c>
      <x:c r="AX27" s="22" t="n">
        <x:f>AX14*0.08</x:f>
        <x:v>270.94</x:v>
      </x:c>
      <x:c r="AY27" s="22" t="n">
        <x:f>AY14*0.08</x:f>
        <x:v>199.27200000000002</x:v>
      </x:c>
      <x:c r="AZ27" s="22" t="n">
        <x:f>AZ14*0.08</x:f>
        <x:v>205.9144</x:v>
      </x:c>
      <x:c r="BA27" s="22" t="n">
        <x:f>BA14*0.08</x:f>
        <x:v>199.27200000000002</x:v>
      </x:c>
      <x:c r="BB27" s="22" t="n">
        <x:f>BB14*0.08</x:f>
        <x:v>480.6240000000001</x:v>
      </x:c>
      <x:c r="BC27" s="22" t="n">
        <x:f>BC14*0.08</x:f>
        <x:v>480.6240000000001</x:v>
      </x:c>
      <x:c r="BD27" s="22" t="n">
        <x:f>BD14*0.08</x:f>
        <x:v>199.27200000000002</x:v>
      </x:c>
      <x:c r="BE27" s="22" t="n">
        <x:f>BE14*0.08</x:f>
        <x:v>205.9144</x:v>
      </x:c>
      <x:c r="BF27" s="22" t="n">
        <x:f>BF14*0.08</x:f>
        <x:v>199.27200000000002</x:v>
      </x:c>
      <x:c r="BG27" s="22" t="n">
        <x:f>BG14*0.08</x:f>
        <x:v>480.6240000000001</x:v>
      </x:c>
      <x:c r="BH27" s="22" t="n">
        <x:f>BH14*0.08</x:f>
        <x:v>714.8104</x:v>
      </x:c>
      <x:c r="BI27" s="22" t="n">
        <x:f>BI14*0.08</x:f>
        <x:v>645.6351999999999</x:v>
      </x:c>
      <x:c r="BJ27" s="22" t="n">
        <x:f>BJ14*0.08</x:f>
        <x:v>270.94</x:v>
      </x:c>
    </x:row>
    <x:row r="28">
      <x:c r="A28" s="13" t="str">
        <x:v>変動費</x:v>
      </x:c>
      <x:c r="B28" s="13" t="str">
        <x:v>消耗品費</x:v>
      </x:c>
      <x:c r="C28" s="22" t="n">
        <x:f>C14*0.03</x:f>
        <x:v>74.727</x:v>
      </x:c>
      <x:c r="D28" s="22" t="n">
        <x:f>D14*0.03</x:f>
        <x:v>77.21789999999999</x:v>
      </x:c>
      <x:c r="E28" s="22" t="n">
        <x:f>E14*0.03</x:f>
        <x:v>74.727</x:v>
      </x:c>
      <x:c r="F28" s="22" t="n">
        <x:f>F14*0.03</x:f>
        <x:v>180.23400000000004</x:v>
      </x:c>
      <x:c r="G28" s="22" t="n">
        <x:f>G14*0.03</x:f>
        <x:v>180.23400000000004</x:v>
      </x:c>
      <x:c r="H28" s="22" t="n">
        <x:f>H14*0.03</x:f>
        <x:v>74.727</x:v>
      </x:c>
      <x:c r="I28" s="22" t="n">
        <x:f>I14*0.03</x:f>
        <x:v>77.21789999999999</x:v>
      </x:c>
      <x:c r="J28" s="22" t="n">
        <x:f>J14*0.03</x:f>
        <x:v>74.727</x:v>
      </x:c>
      <x:c r="K28" s="22" t="n">
        <x:f>K14*0.03</x:f>
        <x:v>180.23400000000004</x:v>
      </x:c>
      <x:c r="L28" s="22" t="n">
        <x:f>L14*0.03</x:f>
        <x:v>268.05389999999994</x:v>
      </x:c>
      <x:c r="M28" s="22" t="n">
        <x:f>M14*0.03</x:f>
        <x:v>242.11319999999995</x:v>
      </x:c>
      <x:c r="N28" s="22" t="n">
        <x:f>N14*0.03</x:f>
        <x:v>101.60249999999999</x:v>
      </x:c>
      <x:c r="O28" s="22" t="n">
        <x:f>O14*0.03</x:f>
        <x:v>74.727</x:v>
      </x:c>
      <x:c r="P28" s="22" t="n">
        <x:f>P14*0.03</x:f>
        <x:v>77.21789999999999</x:v>
      </x:c>
      <x:c r="Q28" s="22" t="n">
        <x:f>Q14*0.03</x:f>
        <x:v>74.727</x:v>
      </x:c>
      <x:c r="R28" s="22" t="n">
        <x:f>R14*0.03</x:f>
        <x:v>180.23400000000004</x:v>
      </x:c>
      <x:c r="S28" s="22" t="n">
        <x:f>S14*0.03</x:f>
        <x:v>180.23400000000004</x:v>
      </x:c>
      <x:c r="T28" s="22" t="n">
        <x:f>T14*0.03</x:f>
        <x:v>74.727</x:v>
      </x:c>
      <x:c r="U28" s="22" t="n">
        <x:f>U14*0.03</x:f>
        <x:v>77.21789999999999</x:v>
      </x:c>
      <x:c r="V28" s="22" t="n">
        <x:f>V14*0.03</x:f>
        <x:v>74.727</x:v>
      </x:c>
      <x:c r="W28" s="22" t="n">
        <x:f>W14*0.03</x:f>
        <x:v>180.23400000000004</x:v>
      </x:c>
      <x:c r="X28" s="22" t="n">
        <x:f>X14*0.03</x:f>
        <x:v>268.05389999999994</x:v>
      </x:c>
      <x:c r="Y28" s="22" t="n">
        <x:f>Y14*0.03</x:f>
        <x:v>250.7601</x:v>
      </x:c>
      <x:c r="Z28" s="22" t="n">
        <x:f>Z14*0.03</x:f>
        <x:v>101.60249999999999</x:v>
      </x:c>
      <x:c r="AA28" s="22" t="n">
        <x:f>AA14*0.03</x:f>
        <x:v>74.727</x:v>
      </x:c>
      <x:c r="AB28" s="22" t="n">
        <x:f>AB14*0.03</x:f>
        <x:v>77.21789999999999</x:v>
      </x:c>
      <x:c r="AC28" s="22" t="n">
        <x:f>AC14*0.03</x:f>
        <x:v>74.727</x:v>
      </x:c>
      <x:c r="AD28" s="22" t="n">
        <x:f>AD14*0.03</x:f>
        <x:v>180.23400000000004</x:v>
      </x:c>
      <x:c r="AE28" s="22" t="n">
        <x:f>AE14*0.03</x:f>
        <x:v>180.23400000000004</x:v>
      </x:c>
      <x:c r="AF28" s="22" t="n">
        <x:f>AF14*0.03</x:f>
        <x:v>74.727</x:v>
      </x:c>
      <x:c r="AG28" s="22" t="n">
        <x:f>AG14*0.03</x:f>
        <x:v>77.21789999999999</x:v>
      </x:c>
      <x:c r="AH28" s="22" t="n">
        <x:f>AH14*0.03</x:f>
        <x:v>74.727</x:v>
      </x:c>
      <x:c r="AI28" s="22" t="n">
        <x:f>AI14*0.03</x:f>
        <x:v>180.23400000000004</x:v>
      </x:c>
      <x:c r="AJ28" s="22" t="n">
        <x:f>AJ14*0.03</x:f>
        <x:v>268.05389999999994</x:v>
      </x:c>
      <x:c r="AK28" s="22" t="n">
        <x:f>AK14*0.03</x:f>
        <x:v>242.11319999999995</x:v>
      </x:c>
      <x:c r="AL28" s="22" t="n">
        <x:f>AL14*0.03</x:f>
        <x:v>101.60249999999999</x:v>
      </x:c>
      <x:c r="AM28" s="22" t="n">
        <x:f>AM14*0.03</x:f>
        <x:v>74.727</x:v>
      </x:c>
      <x:c r="AN28" s="22" t="n">
        <x:f>AN14*0.03</x:f>
        <x:v>77.21789999999999</x:v>
      </x:c>
      <x:c r="AO28" s="22" t="n">
        <x:f>AO14*0.03</x:f>
        <x:v>74.727</x:v>
      </x:c>
      <x:c r="AP28" s="22" t="n">
        <x:f>AP14*0.03</x:f>
        <x:v>180.23400000000004</x:v>
      </x:c>
      <x:c r="AQ28" s="22" t="n">
        <x:f>AQ14*0.03</x:f>
        <x:v>180.23400000000004</x:v>
      </x:c>
      <x:c r="AR28" s="22" t="n">
        <x:f>AR14*0.03</x:f>
        <x:v>74.727</x:v>
      </x:c>
      <x:c r="AS28" s="22" t="n">
        <x:f>AS14*0.03</x:f>
        <x:v>77.21789999999999</x:v>
      </x:c>
      <x:c r="AT28" s="22" t="n">
        <x:f>AT14*0.03</x:f>
        <x:v>74.727</x:v>
      </x:c>
      <x:c r="AU28" s="22" t="n">
        <x:f>AU14*0.03</x:f>
        <x:v>180.23400000000004</x:v>
      </x:c>
      <x:c r="AV28" s="22" t="n">
        <x:f>AV14*0.03</x:f>
        <x:v>268.05389999999994</x:v>
      </x:c>
      <x:c r="AW28" s="22" t="n">
        <x:f>AW14*0.03</x:f>
        <x:v>242.11319999999995</x:v>
      </x:c>
      <x:c r="AX28" s="22" t="n">
        <x:f>AX14*0.03</x:f>
        <x:v>101.60249999999999</x:v>
      </x:c>
      <x:c r="AY28" s="22" t="n">
        <x:f>AY14*0.03</x:f>
        <x:v>74.727</x:v>
      </x:c>
      <x:c r="AZ28" s="22" t="n">
        <x:f>AZ14*0.03</x:f>
        <x:v>77.21789999999999</x:v>
      </x:c>
      <x:c r="BA28" s="22" t="n">
        <x:f>BA14*0.03</x:f>
        <x:v>74.727</x:v>
      </x:c>
      <x:c r="BB28" s="22" t="n">
        <x:f>BB14*0.03</x:f>
        <x:v>180.23400000000004</x:v>
      </x:c>
      <x:c r="BC28" s="22" t="n">
        <x:f>BC14*0.03</x:f>
        <x:v>180.23400000000004</x:v>
      </x:c>
      <x:c r="BD28" s="22" t="n">
        <x:f>BD14*0.03</x:f>
        <x:v>74.727</x:v>
      </x:c>
      <x:c r="BE28" s="22" t="n">
        <x:f>BE14*0.03</x:f>
        <x:v>77.21789999999999</x:v>
      </x:c>
      <x:c r="BF28" s="22" t="n">
        <x:f>BF14*0.03</x:f>
        <x:v>74.727</x:v>
      </x:c>
      <x:c r="BG28" s="22" t="n">
        <x:f>BG14*0.03</x:f>
        <x:v>180.23400000000004</x:v>
      </x:c>
      <x:c r="BH28" s="22" t="n">
        <x:f>BH14*0.03</x:f>
        <x:v>268.05389999999994</x:v>
      </x:c>
      <x:c r="BI28" s="22" t="n">
        <x:f>BI14*0.03</x:f>
        <x:v>242.11319999999995</x:v>
      </x:c>
      <x:c r="BJ28" s="22" t="n">
        <x:f>BJ14*0.03</x:f>
        <x:v>101.60249999999999</x:v>
      </x:c>
    </x:row>
    <x:row r="29">
      <x:c r="A29" s="13" t="str">
        <x:v>変動費</x:v>
      </x:c>
      <x:c r="B29" s="13" t="str">
        <x:v>修繕費</x:v>
      </x:c>
      <x:c r="C29" s="22" t="n">
        <x:f>C14*0.02</x:f>
        <x:v>49.818000000000005</x:v>
      </x:c>
      <x:c r="D29" s="22" t="n">
        <x:f>D14*0.02</x:f>
        <x:v>51.4786</x:v>
      </x:c>
      <x:c r="E29" s="22" t="n">
        <x:f>E14*0.02</x:f>
        <x:v>49.818000000000005</x:v>
      </x:c>
      <x:c r="F29" s="22" t="n">
        <x:f>F14*0.02</x:f>
        <x:v>120.15600000000002</x:v>
      </x:c>
      <x:c r="G29" s="22" t="n">
        <x:f>G14*0.02</x:f>
        <x:v>120.15600000000002</x:v>
      </x:c>
      <x:c r="H29" s="22" t="n">
        <x:f>H14*0.02</x:f>
        <x:v>49.818000000000005</x:v>
      </x:c>
      <x:c r="I29" s="22" t="n">
        <x:f>I14*0.02</x:f>
        <x:v>51.4786</x:v>
      </x:c>
      <x:c r="J29" s="22" t="n">
        <x:f>J14*0.02</x:f>
        <x:v>49.818000000000005</x:v>
      </x:c>
      <x:c r="K29" s="22" t="n">
        <x:f>K14*0.02</x:f>
        <x:v>120.15600000000002</x:v>
      </x:c>
      <x:c r="L29" s="22" t="n">
        <x:f>L14*0.02</x:f>
        <x:v>178.7026</x:v>
      </x:c>
      <x:c r="M29" s="22" t="n">
        <x:f>M14*0.02</x:f>
        <x:v>161.40879999999999</x:v>
      </x:c>
      <x:c r="N29" s="22" t="n">
        <x:f>N14*0.02</x:f>
        <x:v>67.735</x:v>
      </x:c>
      <x:c r="O29" s="22" t="n">
        <x:f>O14*0.02</x:f>
        <x:v>49.818000000000005</x:v>
      </x:c>
      <x:c r="P29" s="22" t="n">
        <x:f>P14*0.02</x:f>
        <x:v>51.4786</x:v>
      </x:c>
      <x:c r="Q29" s="22" t="n">
        <x:f>Q14*0.02</x:f>
        <x:v>49.818000000000005</x:v>
      </x:c>
      <x:c r="R29" s="22" t="n">
        <x:f>R14*0.02</x:f>
        <x:v>120.15600000000002</x:v>
      </x:c>
      <x:c r="S29" s="22" t="n">
        <x:f>S14*0.02</x:f>
        <x:v>120.15600000000002</x:v>
      </x:c>
      <x:c r="T29" s="22" t="n">
        <x:f>T14*0.02</x:f>
        <x:v>49.818000000000005</x:v>
      </x:c>
      <x:c r="U29" s="22" t="n">
        <x:f>U14*0.02</x:f>
        <x:v>51.4786</x:v>
      </x:c>
      <x:c r="V29" s="22" t="n">
        <x:f>V14*0.02</x:f>
        <x:v>49.818000000000005</x:v>
      </x:c>
      <x:c r="W29" s="22" t="n">
        <x:f>W14*0.02</x:f>
        <x:v>120.15600000000002</x:v>
      </x:c>
      <x:c r="X29" s="22" t="n">
        <x:f>X14*0.02</x:f>
        <x:v>178.7026</x:v>
      </x:c>
      <x:c r="Y29" s="22" t="n">
        <x:f>Y14*0.02</x:f>
        <x:v>167.17340000000002</x:v>
      </x:c>
      <x:c r="Z29" s="22" t="n">
        <x:f>Z14*0.02</x:f>
        <x:v>67.735</x:v>
      </x:c>
      <x:c r="AA29" s="22" t="n">
        <x:f>AA14*0.02</x:f>
        <x:v>49.818000000000005</x:v>
      </x:c>
      <x:c r="AB29" s="22" t="n">
        <x:f>AB14*0.02</x:f>
        <x:v>51.4786</x:v>
      </x:c>
      <x:c r="AC29" s="22" t="n">
        <x:f>AC14*0.02</x:f>
        <x:v>49.818000000000005</x:v>
      </x:c>
      <x:c r="AD29" s="22" t="n">
        <x:f>AD14*0.02</x:f>
        <x:v>120.15600000000002</x:v>
      </x:c>
      <x:c r="AE29" s="22" t="n">
        <x:f>AE14*0.02</x:f>
        <x:v>120.15600000000002</x:v>
      </x:c>
      <x:c r="AF29" s="22" t="n">
        <x:f>AF14*0.02</x:f>
        <x:v>49.818000000000005</x:v>
      </x:c>
      <x:c r="AG29" s="22" t="n">
        <x:f>AG14*0.02</x:f>
        <x:v>51.4786</x:v>
      </x:c>
      <x:c r="AH29" s="22" t="n">
        <x:f>AH14*0.02</x:f>
        <x:v>49.818000000000005</x:v>
      </x:c>
      <x:c r="AI29" s="22" t="n">
        <x:f>AI14*0.02</x:f>
        <x:v>120.15600000000002</x:v>
      </x:c>
      <x:c r="AJ29" s="22" t="n">
        <x:f>AJ14*0.02</x:f>
        <x:v>178.7026</x:v>
      </x:c>
      <x:c r="AK29" s="22" t="n">
        <x:f>AK14*0.02</x:f>
        <x:v>161.40879999999999</x:v>
      </x:c>
      <x:c r="AL29" s="22" t="n">
        <x:f>AL14*0.02</x:f>
        <x:v>67.735</x:v>
      </x:c>
      <x:c r="AM29" s="22" t="n">
        <x:f>AM14*0.02</x:f>
        <x:v>49.818000000000005</x:v>
      </x:c>
      <x:c r="AN29" s="22" t="n">
        <x:f>AN14*0.02</x:f>
        <x:v>51.4786</x:v>
      </x:c>
      <x:c r="AO29" s="22" t="n">
        <x:f>AO14*0.02</x:f>
        <x:v>49.818000000000005</x:v>
      </x:c>
      <x:c r="AP29" s="22" t="n">
        <x:f>AP14*0.02</x:f>
        <x:v>120.15600000000002</x:v>
      </x:c>
      <x:c r="AQ29" s="22" t="n">
        <x:f>AQ14*0.02</x:f>
        <x:v>120.15600000000002</x:v>
      </x:c>
      <x:c r="AR29" s="22" t="n">
        <x:f>AR14*0.02</x:f>
        <x:v>49.818000000000005</x:v>
      </x:c>
      <x:c r="AS29" s="22" t="n">
        <x:f>AS14*0.02</x:f>
        <x:v>51.4786</x:v>
      </x:c>
      <x:c r="AT29" s="22" t="n">
        <x:f>AT14*0.02</x:f>
        <x:v>49.818000000000005</x:v>
      </x:c>
      <x:c r="AU29" s="22" t="n">
        <x:f>AU14*0.02</x:f>
        <x:v>120.15600000000002</x:v>
      </x:c>
      <x:c r="AV29" s="22" t="n">
        <x:f>AV14*0.02</x:f>
        <x:v>178.7026</x:v>
      </x:c>
      <x:c r="AW29" s="22" t="n">
        <x:f>AW14*0.02</x:f>
        <x:v>161.40879999999999</x:v>
      </x:c>
      <x:c r="AX29" s="22" t="n">
        <x:f>AX14*0.02</x:f>
        <x:v>67.735</x:v>
      </x:c>
      <x:c r="AY29" s="22" t="n">
        <x:f>AY14*0.02</x:f>
        <x:v>49.818000000000005</x:v>
      </x:c>
      <x:c r="AZ29" s="22" t="n">
        <x:f>AZ14*0.02</x:f>
        <x:v>51.4786</x:v>
      </x:c>
      <x:c r="BA29" s="22" t="n">
        <x:f>BA14*0.02</x:f>
        <x:v>49.818000000000005</x:v>
      </x:c>
      <x:c r="BB29" s="22" t="n">
        <x:f>BB14*0.02</x:f>
        <x:v>120.15600000000002</x:v>
      </x:c>
      <x:c r="BC29" s="22" t="n">
        <x:f>BC14*0.02</x:f>
        <x:v>120.15600000000002</x:v>
      </x:c>
      <x:c r="BD29" s="22" t="n">
        <x:f>BD14*0.02</x:f>
        <x:v>49.818000000000005</x:v>
      </x:c>
      <x:c r="BE29" s="22" t="n">
        <x:f>BE14*0.02</x:f>
        <x:v>51.4786</x:v>
      </x:c>
      <x:c r="BF29" s="22" t="n">
        <x:f>BF14*0.02</x:f>
        <x:v>49.818000000000005</x:v>
      </x:c>
      <x:c r="BG29" s="22" t="n">
        <x:f>BG14*0.02</x:f>
        <x:v>120.15600000000002</x:v>
      </x:c>
      <x:c r="BH29" s="22" t="n">
        <x:f>BH14*0.02</x:f>
        <x:v>178.7026</x:v>
      </x:c>
      <x:c r="BI29" s="22" t="n">
        <x:f>BI14*0.02</x:f>
        <x:v>161.40879999999999</x:v>
      </x:c>
      <x:c r="BJ29" s="22" t="n">
        <x:f>BJ14*0.02</x:f>
        <x:v>67.735</x:v>
      </x:c>
    </x:row>
    <x:row r="30">
      <x:c r="A30" s="13" t="str">
        <x:v>変動費</x:v>
      </x:c>
      <x:c r="B30" s="13" t="str">
        <x:v>その他変動費</x:v>
      </x:c>
      <x:c r="C30" s="22" t="n">
        <x:v>0</x:v>
      </x:c>
      <x:c r="D30" s="22" t="n">
        <x:v>0</x:v>
      </x:c>
      <x:c r="E30" s="22" t="n">
        <x:v>0</x:v>
      </x:c>
      <x:c r="F30" s="22" t="n">
        <x:v>0</x:v>
      </x:c>
      <x:c r="G30" s="22" t="n">
        <x:v>0</x:v>
      </x:c>
      <x:c r="H30" s="22" t="n">
        <x:v>0</x:v>
      </x:c>
      <x:c r="I30" s="22" t="n">
        <x:v>0</x:v>
      </x:c>
      <x:c r="J30" s="22" t="n">
        <x:v>0</x:v>
      </x:c>
      <x:c r="K30" s="22" t="n">
        <x:v>0</x:v>
      </x:c>
      <x:c r="L30" s="22" t="n">
        <x:v>0</x:v>
      </x:c>
      <x:c r="M30" s="22" t="n">
        <x:v>0</x:v>
      </x:c>
      <x:c r="N30" s="22" t="n">
        <x:v>0</x:v>
      </x:c>
      <x:c r="O30" s="22" t="n">
        <x:v>0</x:v>
      </x:c>
      <x:c r="P30" s="22" t="n">
        <x:v>0</x:v>
      </x:c>
      <x:c r="Q30" s="22" t="n">
        <x:v>0</x:v>
      </x:c>
      <x:c r="R30" s="22" t="n">
        <x:v>0</x:v>
      </x:c>
      <x:c r="S30" s="22" t="n">
        <x:v>0</x:v>
      </x:c>
      <x:c r="T30" s="22" t="n">
        <x:v>0</x:v>
      </x:c>
      <x:c r="U30" s="22" t="n">
        <x:v>0</x:v>
      </x:c>
      <x:c r="V30" s="22" t="n">
        <x:v>0</x:v>
      </x:c>
      <x:c r="W30" s="22" t="n">
        <x:v>0</x:v>
      </x:c>
      <x:c r="X30" s="22" t="n">
        <x:v>0</x:v>
      </x:c>
      <x:c r="Y30" s="22" t="n">
        <x:v>0</x:v>
      </x:c>
      <x:c r="Z30" s="22" t="n">
        <x:v>0</x:v>
      </x:c>
      <x:c r="AA30" s="22" t="n">
        <x:v>0</x:v>
      </x:c>
      <x:c r="AB30" s="22" t="n">
        <x:v>0</x:v>
      </x:c>
      <x:c r="AC30" s="22" t="n">
        <x:v>0</x:v>
      </x:c>
      <x:c r="AD30" s="22" t="n">
        <x:v>0</x:v>
      </x:c>
      <x:c r="AE30" s="22" t="n">
        <x:v>0</x:v>
      </x:c>
      <x:c r="AF30" s="22" t="n">
        <x:v>0</x:v>
      </x:c>
      <x:c r="AG30" s="22" t="n">
        <x:v>0</x:v>
      </x:c>
      <x:c r="AH30" s="22" t="n">
        <x:v>0</x:v>
      </x:c>
      <x:c r="AI30" s="22" t="n">
        <x:v>0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</x:row>
    <x:row r="31">
      <x:c r="A31" s="13" t="str">
        <x:v>変動費</x:v>
      </x:c>
      <x:c r="B31" s="13" t="str">
        <x:v>変動費合計</x:v>
      </x:c>
      <x:c r="C31" s="23" t="n">
        <x:f>SUM(C25:C30)</x:f>
        <x:v>882.645</x:v>
      </x:c>
      <x:c r="D31" s="23" t="n">
        <x:f>SUM(D25:D30)</x:f>
        <x:v>912.0665</x:v>
      </x:c>
      <x:c r="E31" s="23" t="n">
        <x:f>SUM(E25:E30)</x:f>
        <x:v>882.645</x:v>
      </x:c>
      <x:c r="F31" s="23" t="n">
        <x:f>SUM(F25:F30)</x:f>
        <x:v>1982.574</x:v>
      </x:c>
      <x:c r="G31" s="23" t="n">
        <x:f>SUM(G25:G30)</x:f>
        <x:v>1982.574</x:v>
      </x:c>
      <x:c r="H31" s="23" t="n">
        <x:f>SUM(H25:H30)</x:f>
        <x:v>882.645</x:v>
      </x:c>
      <x:c r="I31" s="23" t="n">
        <x:f>SUM(I25:I30)</x:f>
        <x:v>912.0665</x:v>
      </x:c>
      <x:c r="J31" s="23" t="n">
        <x:f>SUM(J25:J30)</x:f>
        <x:v>882.645</x:v>
      </x:c>
      <x:c r="K31" s="23" t="n">
        <x:f>SUM(K25:K30)</x:f>
        <x:v>1982.574</x:v>
      </x:c>
      <x:c r="L31" s="23" t="n">
        <x:f>SUM(L25:L30)</x:f>
        <x:v>2813.3584999999994</x:v>
      </x:c>
      <x:c r="M31" s="23" t="n">
        <x:f>SUM(M25:M30)</x:f>
        <x:v>2541.098</x:v>
      </x:c>
      <x:c r="N31" s="23" t="n">
        <x:f>SUM(N25:N30)</x:f>
        <x:v>1200.0874999999999</x:v>
      </x:c>
      <x:c r="O31" s="23" t="n">
        <x:f>SUM(O25:O30)</x:f>
        <x:v>882.645</x:v>
      </x:c>
      <x:c r="P31" s="23" t="n">
        <x:f>SUM(P25:P30)</x:f>
        <x:v>912.0665</x:v>
      </x:c>
      <x:c r="Q31" s="23" t="n">
        <x:f>SUM(Q25:Q30)</x:f>
        <x:v>882.645</x:v>
      </x:c>
      <x:c r="R31" s="23" t="n">
        <x:f>SUM(R25:R30)</x:f>
        <x:v>1982.574</x:v>
      </x:c>
      <x:c r="S31" s="23" t="n">
        <x:f>SUM(S25:S30)</x:f>
        <x:v>1982.574</x:v>
      </x:c>
      <x:c r="T31" s="23" t="n">
        <x:f>SUM(T25:T30)</x:f>
        <x:v>882.645</x:v>
      </x:c>
      <x:c r="U31" s="23" t="n">
        <x:f>SUM(U25:U30)</x:f>
        <x:v>912.0665</x:v>
      </x:c>
      <x:c r="V31" s="23" t="n">
        <x:f>SUM(V25:V30)</x:f>
        <x:v>882.645</x:v>
      </x:c>
      <x:c r="W31" s="23" t="n">
        <x:f>SUM(W25:W30)</x:f>
        <x:v>1982.574</x:v>
      </x:c>
      <x:c r="X31" s="23" t="n">
        <x:f>SUM(X25:X30)</x:f>
        <x:v>2813.3584999999994</x:v>
      </x:c>
      <x:c r="Y31" s="23" t="n">
        <x:f>SUM(Y25:Y30)</x:f>
        <x:v>2631.8515</x:v>
      </x:c>
      <x:c r="Z31" s="23" t="n">
        <x:f>SUM(Z25:Z30)</x:f>
        <x:v>1200.0874999999999</x:v>
      </x:c>
      <x:c r="AA31" s="23" t="n">
        <x:f>SUM(AA25:AA30)</x:f>
        <x:v>882.645</x:v>
      </x:c>
      <x:c r="AB31" s="23" t="n">
        <x:f>SUM(AB25:AB30)</x:f>
        <x:v>912.0665</x:v>
      </x:c>
      <x:c r="AC31" s="23" t="n">
        <x:f>SUM(AC25:AC30)</x:f>
        <x:v>882.645</x:v>
      </x:c>
      <x:c r="AD31" s="23" t="n">
        <x:f>SUM(AD25:AD30)</x:f>
        <x:v>1982.574</x:v>
      </x:c>
      <x:c r="AE31" s="23" t="n">
        <x:f>SUM(AE25:AE30)</x:f>
        <x:v>1982.574</x:v>
      </x:c>
      <x:c r="AF31" s="23" t="n">
        <x:f>SUM(AF25:AF30)</x:f>
        <x:v>882.645</x:v>
      </x:c>
      <x:c r="AG31" s="23" t="n">
        <x:f>SUM(AG25:AG30)</x:f>
        <x:v>912.0665</x:v>
      </x:c>
      <x:c r="AH31" s="23" t="n">
        <x:f>SUM(AH25:AH30)</x:f>
        <x:v>882.645</x:v>
      </x:c>
      <x:c r="AI31" s="23" t="n">
        <x:f>SUM(AI25:AI30)</x:f>
        <x:v>1982.574</x:v>
      </x:c>
      <x:c r="AJ31" s="23" t="n">
        <x:f>SUM(AJ25:AJ30)</x:f>
        <x:v>2813.3584999999994</x:v>
      </x:c>
      <x:c r="AK31" s="23" t="n">
        <x:f>SUM(AK25:AK30)</x:f>
        <x:v>2541.098</x:v>
      </x:c>
      <x:c r="AL31" s="23" t="n">
        <x:f>SUM(AL25:AL30)</x:f>
        <x:v>1200.0874999999999</x:v>
      </x:c>
      <x:c r="AM31" s="23" t="n">
        <x:f>SUM(AM25:AM30)</x:f>
        <x:v>882.645</x:v>
      </x:c>
      <x:c r="AN31" s="23" t="n">
        <x:f>SUM(AN25:AN30)</x:f>
        <x:v>912.0665</x:v>
      </x:c>
      <x:c r="AO31" s="23" t="n">
        <x:f>SUM(AO25:AO30)</x:f>
        <x:v>882.645</x:v>
      </x:c>
      <x:c r="AP31" s="23" t="n">
        <x:f>SUM(AP25:AP30)</x:f>
        <x:v>1982.574</x:v>
      </x:c>
      <x:c r="AQ31" s="23" t="n">
        <x:f>SUM(AQ25:AQ30)</x:f>
        <x:v>1982.574</x:v>
      </x:c>
      <x:c r="AR31" s="23" t="n">
        <x:f>SUM(AR25:AR30)</x:f>
        <x:v>882.645</x:v>
      </x:c>
      <x:c r="AS31" s="23" t="n">
        <x:f>SUM(AS25:AS30)</x:f>
        <x:v>912.0665</x:v>
      </x:c>
      <x:c r="AT31" s="23" t="n">
        <x:f>SUM(AT25:AT30)</x:f>
        <x:v>882.645</x:v>
      </x:c>
      <x:c r="AU31" s="23" t="n">
        <x:f>SUM(AU25:AU30)</x:f>
        <x:v>1982.574</x:v>
      </x:c>
      <x:c r="AV31" s="23" t="n">
        <x:f>SUM(AV25:AV30)</x:f>
        <x:v>2813.3584999999994</x:v>
      </x:c>
      <x:c r="AW31" s="23" t="n">
        <x:f>SUM(AW25:AW30)</x:f>
        <x:v>2541.098</x:v>
      </x:c>
      <x:c r="AX31" s="23" t="n">
        <x:f>SUM(AX25:AX30)</x:f>
        <x:v>1200.0874999999999</x:v>
      </x:c>
      <x:c r="AY31" s="23" t="n">
        <x:f>SUM(AY25:AY30)</x:f>
        <x:v>882.645</x:v>
      </x:c>
      <x:c r="AZ31" s="23" t="n">
        <x:f>SUM(AZ25:AZ30)</x:f>
        <x:v>912.0665</x:v>
      </x:c>
      <x:c r="BA31" s="23" t="n">
        <x:f>SUM(BA25:BA30)</x:f>
        <x:v>882.645</x:v>
      </x:c>
      <x:c r="BB31" s="23" t="n">
        <x:f>SUM(BB25:BB30)</x:f>
        <x:v>1982.574</x:v>
      </x:c>
      <x:c r="BC31" s="23" t="n">
        <x:f>SUM(BC25:BC30)</x:f>
        <x:v>1982.574</x:v>
      </x:c>
      <x:c r="BD31" s="23" t="n">
        <x:f>SUM(BD25:BD30)</x:f>
        <x:v>882.645</x:v>
      </x:c>
      <x:c r="BE31" s="23" t="n">
        <x:f>SUM(BE25:BE30)</x:f>
        <x:v>912.0665</x:v>
      </x:c>
      <x:c r="BF31" s="23" t="n">
        <x:f>SUM(BF25:BF30)</x:f>
        <x:v>882.645</x:v>
      </x:c>
      <x:c r="BG31" s="23" t="n">
        <x:f>SUM(BG25:BG30)</x:f>
        <x:v>1982.574</x:v>
      </x:c>
      <x:c r="BH31" s="23" t="n">
        <x:f>SUM(BH25:BH30)</x:f>
        <x:v>2813.3584999999994</x:v>
      </x:c>
      <x:c r="BI31" s="23" t="n">
        <x:f>SUM(BI25:BI30)</x:f>
        <x:v>2541.098</x:v>
      </x:c>
      <x:c r="BJ31" s="23" t="n">
        <x:f>SUM(BJ25:BJ30)</x:f>
        <x:v>1200.0874999999999</x:v>
      </x:c>
    </x:row>
    <x:row r="32">
      <x:c r="A32" s="13" t="str">
        <x:v>固定費</x:v>
      </x:c>
      <x:c r="B32" s="13" t="str">
        <x:v>地代家賃</x:v>
      </x:c>
      <x:c r="C32" s="22" t="n">
        <x:v>0</x:v>
      </x:c>
      <x:c r="D32" s="22" t="n">
        <x:v>0</x:v>
      </x:c>
      <x:c r="E32" s="22" t="n">
        <x:v>0</x:v>
      </x:c>
      <x:c r="F32" s="22" t="n">
        <x:v>0</x:v>
      </x:c>
      <x:c r="G32" s="22" t="n">
        <x:v>0</x:v>
      </x:c>
      <x:c r="H32" s="22" t="n">
        <x:v>0</x:v>
      </x:c>
      <x:c r="I32" s="22" t="n">
        <x:v>0</x:v>
      </x:c>
      <x:c r="J32" s="22" t="n">
        <x:v>0</x:v>
      </x:c>
      <x:c r="K32" s="22" t="n">
        <x:v>0</x:v>
      </x:c>
      <x:c r="L32" s="22" t="n">
        <x:v>0</x:v>
      </x:c>
      <x:c r="M32" s="22" t="n">
        <x:v>0</x:v>
      </x:c>
      <x:c r="N32" s="22" t="n">
        <x:v>0</x:v>
      </x:c>
      <x:c r="O32" s="22" t="n">
        <x:v>0</x:v>
      </x:c>
      <x:c r="P32" s="22" t="n">
        <x:v>0</x:v>
      </x:c>
      <x:c r="Q32" s="22" t="n">
        <x:v>0</x:v>
      </x:c>
      <x:c r="R32" s="22" t="n">
        <x:v>0</x:v>
      </x:c>
      <x:c r="S32" s="22" t="n">
        <x:v>0</x:v>
      </x:c>
      <x:c r="T32" s="22" t="n">
        <x:v>0</x:v>
      </x:c>
      <x:c r="U32" s="22" t="n">
        <x:v>0</x:v>
      </x:c>
      <x:c r="V32" s="22" t="n">
        <x:v>0</x:v>
      </x:c>
      <x:c r="W32" s="22" t="n">
        <x:v>0</x:v>
      </x:c>
      <x:c r="X32" s="22" t="n">
        <x:v>0</x:v>
      </x:c>
      <x:c r="Y32" s="22" t="n">
        <x:v>0</x:v>
      </x:c>
      <x:c r="Z32" s="22" t="n">
        <x:v>0</x:v>
      </x:c>
      <x:c r="AA32" s="22" t="n">
        <x:v>0</x:v>
      </x:c>
      <x:c r="AB32" s="22" t="n">
        <x:v>0</x:v>
      </x:c>
      <x:c r="AC32" s="22" t="n">
        <x:v>0</x:v>
      </x:c>
      <x:c r="AD32" s="22" t="n">
        <x:v>0</x:v>
      </x:c>
      <x:c r="AE32" s="22" t="n">
        <x:v>0</x:v>
      </x:c>
      <x:c r="AF32" s="22" t="n">
        <x:v>0</x:v>
      </x:c>
      <x:c r="AG32" s="22" t="n">
        <x:v>0</x:v>
      </x:c>
      <x:c r="AH32" s="22" t="n">
        <x:v>0</x:v>
      </x:c>
      <x:c r="AI32" s="22" t="n">
        <x:v>0</x:v>
      </x:c>
      <x:c r="AJ32" s="22" t="n">
        <x:v>0</x:v>
      </x:c>
      <x:c r="AK32" s="22" t="n">
        <x:v>0</x:v>
      </x:c>
      <x:c r="AL32" s="22" t="n">
        <x:v>0</x:v>
      </x:c>
      <x:c r="AM32" s="22" t="n">
        <x:v>0</x:v>
      </x:c>
      <x:c r="AN32" s="22" t="n">
        <x:v>0</x:v>
      </x:c>
      <x:c r="AO32" s="22" t="n">
        <x:v>0</x:v>
      </x:c>
      <x:c r="AP32" s="22" t="n">
        <x:v>0</x:v>
      </x:c>
      <x:c r="AQ32" s="22" t="n">
        <x:v>0</x:v>
      </x:c>
      <x:c r="AR32" s="22" t="n">
        <x:v>0</x:v>
      </x:c>
      <x:c r="AS32" s="22" t="n">
        <x:v>0</x:v>
      </x:c>
      <x:c r="AT32" s="22" t="n">
        <x:v>0</x:v>
      </x:c>
      <x:c r="AU32" s="22" t="n">
        <x:v>0</x:v>
      </x:c>
      <x:c r="AV32" s="22" t="n">
        <x:v>0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</x:row>
    <x:row r="33">
      <x:c r="A33" s="13" t="str">
        <x:v>固定費</x:v>
      </x:c>
      <x:c r="B33" s="13" t="str">
        <x:v>通信費</x:v>
      </x:c>
      <x:c r="C33" s="22" t="n">
        <x:v>50</x:v>
      </x:c>
      <x:c r="D33" s="22" t="n">
        <x:v>50</x:v>
      </x:c>
      <x:c r="E33" s="22" t="n">
        <x:v>50</x:v>
      </x:c>
      <x:c r="F33" s="22" t="n">
        <x:v>50</x:v>
      </x:c>
      <x:c r="G33" s="22" t="n">
        <x:v>50</x:v>
      </x:c>
      <x:c r="H33" s="22" t="n">
        <x:v>50</x:v>
      </x:c>
      <x:c r="I33" s="22" t="n">
        <x:v>50</x:v>
      </x:c>
      <x:c r="J33" s="22" t="n">
        <x:v>50</x:v>
      </x:c>
      <x:c r="K33" s="22" t="n">
        <x:v>50</x:v>
      </x:c>
      <x:c r="L33" s="22" t="n">
        <x:v>50</x:v>
      </x:c>
      <x:c r="M33" s="22" t="n">
        <x:v>50</x:v>
      </x:c>
      <x:c r="N33" s="22" t="n">
        <x:v>50</x:v>
      </x:c>
      <x:c r="O33" s="22" t="n">
        <x:v>50</x:v>
      </x:c>
      <x:c r="P33" s="22" t="n">
        <x:v>50</x:v>
      </x:c>
      <x:c r="Q33" s="22" t="n">
        <x:v>50</x:v>
      </x:c>
      <x:c r="R33" s="22" t="n">
        <x:v>50</x:v>
      </x:c>
      <x:c r="S33" s="22" t="n">
        <x:v>50</x:v>
      </x:c>
      <x:c r="T33" s="22" t="n">
        <x:v>50</x:v>
      </x:c>
      <x:c r="U33" s="22" t="n">
        <x:v>50</x:v>
      </x:c>
      <x:c r="V33" s="22" t="n">
        <x:v>50</x:v>
      </x:c>
      <x:c r="W33" s="22" t="n">
        <x:v>50</x:v>
      </x:c>
      <x:c r="X33" s="22" t="n">
        <x:v>50</x:v>
      </x:c>
      <x:c r="Y33" s="22" t="n">
        <x:v>50</x:v>
      </x:c>
      <x:c r="Z33" s="22" t="n">
        <x:v>50</x:v>
      </x:c>
      <x:c r="AA33" s="22" t="n">
        <x:v>50</x:v>
      </x:c>
      <x:c r="AB33" s="22" t="n">
        <x:v>50</x:v>
      </x:c>
      <x:c r="AC33" s="22" t="n">
        <x:v>50</x:v>
      </x:c>
      <x:c r="AD33" s="22" t="n">
        <x:v>50</x:v>
      </x:c>
      <x:c r="AE33" s="22" t="n">
        <x:v>50</x:v>
      </x:c>
      <x:c r="AF33" s="22" t="n">
        <x:v>50</x:v>
      </x:c>
      <x:c r="AG33" s="22" t="n">
        <x:v>50</x:v>
      </x:c>
      <x:c r="AH33" s="22" t="n">
        <x:v>50</x:v>
      </x:c>
      <x:c r="AI33" s="22" t="n">
        <x:v>50</x:v>
      </x:c>
      <x:c r="AJ33" s="22" t="n">
        <x:v>50</x:v>
      </x:c>
      <x:c r="AK33" s="22" t="n">
        <x:v>50</x:v>
      </x:c>
      <x:c r="AL33" s="22" t="n">
        <x:v>50</x:v>
      </x:c>
      <x:c r="AM33" s="22" t="n">
        <x:v>50</x:v>
      </x:c>
      <x:c r="AN33" s="22" t="n">
        <x:v>50</x:v>
      </x:c>
      <x:c r="AO33" s="22" t="n">
        <x:v>50</x:v>
      </x:c>
      <x:c r="AP33" s="22" t="n">
        <x:v>50</x:v>
      </x:c>
      <x:c r="AQ33" s="22" t="n">
        <x:v>50</x:v>
      </x:c>
      <x:c r="AR33" s="22" t="n">
        <x:v>50</x:v>
      </x:c>
      <x:c r="AS33" s="22" t="n">
        <x:v>50</x:v>
      </x:c>
      <x:c r="AT33" s="22" t="n">
        <x:v>50</x:v>
      </x:c>
      <x:c r="AU33" s="22" t="n">
        <x:v>50</x:v>
      </x:c>
      <x:c r="AV33" s="22" t="n">
        <x:v>50</x:v>
      </x:c>
      <x:c r="AW33" s="22" t="n">
        <x:v>50</x:v>
      </x:c>
      <x:c r="AX33" s="22" t="n">
        <x:v>50</x:v>
      </x:c>
      <x:c r="AY33" s="22" t="n">
        <x:v>50</x:v>
      </x:c>
      <x:c r="AZ33" s="22" t="n">
        <x:v>50</x:v>
      </x:c>
      <x:c r="BA33" s="22" t="n">
        <x:v>50</x:v>
      </x:c>
      <x:c r="BB33" s="22" t="n">
        <x:v>50</x:v>
      </x:c>
      <x:c r="BC33" s="22" t="n">
        <x:v>50</x:v>
      </x:c>
      <x:c r="BD33" s="22" t="n">
        <x:v>50</x:v>
      </x:c>
      <x:c r="BE33" s="22" t="n">
        <x:v>50</x:v>
      </x:c>
      <x:c r="BF33" s="22" t="n">
        <x:v>50</x:v>
      </x:c>
      <x:c r="BG33" s="22" t="n">
        <x:v>50</x:v>
      </x:c>
      <x:c r="BH33" s="22" t="n">
        <x:v>50</x:v>
      </x:c>
      <x:c r="BI33" s="22" t="n">
        <x:v>50</x:v>
      </x:c>
      <x:c r="BJ33" s="22" t="n">
        <x:v>50</x:v>
      </x:c>
    </x:row>
    <x:row r="34">
      <x:c r="A34" s="13" t="str">
        <x:v>固定費</x:v>
      </x:c>
      <x:c r="B34" s="13" t="str">
        <x:v>保険料</x:v>
      </x:c>
      <x:c r="C34" s="22" t="n">
        <x:v>30</x:v>
      </x:c>
      <x:c r="D34" s="22" t="n">
        <x:v>30</x:v>
      </x:c>
      <x:c r="E34" s="22" t="n">
        <x:v>30</x:v>
      </x:c>
      <x:c r="F34" s="22" t="n">
        <x:v>30</x:v>
      </x:c>
      <x:c r="G34" s="22" t="n">
        <x:v>30</x:v>
      </x:c>
      <x:c r="H34" s="22" t="n">
        <x:v>30</x:v>
      </x:c>
      <x:c r="I34" s="22" t="n">
        <x:v>30</x:v>
      </x:c>
      <x:c r="J34" s="22" t="n">
        <x:v>30</x:v>
      </x:c>
      <x:c r="K34" s="22" t="n">
        <x:v>30</x:v>
      </x:c>
      <x:c r="L34" s="22" t="n">
        <x:v>30</x:v>
      </x:c>
      <x:c r="M34" s="22" t="n">
        <x:v>30</x:v>
      </x:c>
      <x:c r="N34" s="22" t="n">
        <x:v>30</x:v>
      </x:c>
      <x:c r="O34" s="22" t="n">
        <x:v>30</x:v>
      </x:c>
      <x:c r="P34" s="22" t="n">
        <x:v>30</x:v>
      </x:c>
      <x:c r="Q34" s="22" t="n">
        <x:v>30</x:v>
      </x:c>
      <x:c r="R34" s="22" t="n">
        <x:v>30</x:v>
      </x:c>
      <x:c r="S34" s="22" t="n">
        <x:v>30</x:v>
      </x:c>
      <x:c r="T34" s="22" t="n">
        <x:v>30</x:v>
      </x:c>
      <x:c r="U34" s="22" t="n">
        <x:v>30</x:v>
      </x:c>
      <x:c r="V34" s="22" t="n">
        <x:v>30</x:v>
      </x:c>
      <x:c r="W34" s="22" t="n">
        <x:v>30</x:v>
      </x:c>
      <x:c r="X34" s="22" t="n">
        <x:v>30</x:v>
      </x:c>
      <x:c r="Y34" s="22" t="n">
        <x:v>30</x:v>
      </x:c>
      <x:c r="Z34" s="22" t="n">
        <x:v>30</x:v>
      </x:c>
      <x:c r="AA34" s="22" t="n">
        <x:v>30</x:v>
      </x:c>
      <x:c r="AB34" s="22" t="n">
        <x:v>30</x:v>
      </x:c>
      <x:c r="AC34" s="22" t="n">
        <x:v>30</x:v>
      </x:c>
      <x:c r="AD34" s="22" t="n">
        <x:v>30</x:v>
      </x:c>
      <x:c r="AE34" s="22" t="n">
        <x:v>30</x:v>
      </x:c>
      <x:c r="AF34" s="22" t="n">
        <x:v>30</x:v>
      </x:c>
      <x:c r="AG34" s="22" t="n">
        <x:v>30</x:v>
      </x:c>
      <x:c r="AH34" s="22" t="n">
        <x:v>30</x:v>
      </x:c>
      <x:c r="AI34" s="22" t="n">
        <x:v>30</x:v>
      </x:c>
      <x:c r="AJ34" s="22" t="n">
        <x:v>30</x:v>
      </x:c>
      <x:c r="AK34" s="22" t="n">
        <x:v>30</x:v>
      </x:c>
      <x:c r="AL34" s="22" t="n">
        <x:v>30</x:v>
      </x:c>
      <x:c r="AM34" s="22" t="n">
        <x:v>30</x:v>
      </x:c>
      <x:c r="AN34" s="22" t="n">
        <x:v>30</x:v>
      </x:c>
      <x:c r="AO34" s="22" t="n">
        <x:v>30</x:v>
      </x:c>
      <x:c r="AP34" s="22" t="n">
        <x:v>30</x:v>
      </x:c>
      <x:c r="AQ34" s="22" t="n">
        <x:v>30</x:v>
      </x:c>
      <x:c r="AR34" s="22" t="n">
        <x:v>30</x:v>
      </x:c>
      <x:c r="AS34" s="22" t="n">
        <x:v>30</x:v>
      </x:c>
      <x:c r="AT34" s="22" t="n">
        <x:v>30</x:v>
      </x:c>
      <x:c r="AU34" s="22" t="n">
        <x:v>30</x:v>
      </x:c>
      <x:c r="AV34" s="22" t="n">
        <x:v>30</x:v>
      </x:c>
      <x:c r="AW34" s="22" t="n">
        <x:v>30</x:v>
      </x:c>
      <x:c r="AX34" s="22" t="n">
        <x:v>30</x:v>
      </x:c>
      <x:c r="AY34" s="22" t="n">
        <x:v>30</x:v>
      </x:c>
      <x:c r="AZ34" s="22" t="n">
        <x:v>30</x:v>
      </x:c>
      <x:c r="BA34" s="22" t="n">
        <x:v>30</x:v>
      </x:c>
      <x:c r="BB34" s="22" t="n">
        <x:v>30</x:v>
      </x:c>
      <x:c r="BC34" s="22" t="n">
        <x:v>30</x:v>
      </x:c>
      <x:c r="BD34" s="22" t="n">
        <x:v>30</x:v>
      </x:c>
      <x:c r="BE34" s="22" t="n">
        <x:v>30</x:v>
      </x:c>
      <x:c r="BF34" s="22" t="n">
        <x:v>30</x:v>
      </x:c>
      <x:c r="BG34" s="22" t="n">
        <x:v>30</x:v>
      </x:c>
      <x:c r="BH34" s="22" t="n">
        <x:v>30</x:v>
      </x:c>
      <x:c r="BI34" s="22" t="n">
        <x:v>30</x:v>
      </x:c>
      <x:c r="BJ34" s="22" t="n">
        <x:v>30</x:v>
      </x:c>
    </x:row>
    <x:row r="35">
      <x:c r="A35" s="13" t="str">
        <x:v>固定費</x:v>
      </x:c>
      <x:c r="B35" s="13" t="str">
        <x:v>業務委託費</x:v>
      </x:c>
      <x:c r="C35" s="22" t="n">
        <x:v>0</x:v>
      </x:c>
      <x:c r="D35" s="22" t="n">
        <x:v>0</x:v>
      </x:c>
      <x:c r="E35" s="22" t="n">
        <x:v>0</x:v>
      </x:c>
      <x:c r="F35" s="22" t="n">
        <x:v>0</x:v>
      </x:c>
      <x:c r="G35" s="22" t="n">
        <x:v>0</x:v>
      </x:c>
      <x:c r="H35" s="22" t="n">
        <x:v>0</x:v>
      </x:c>
      <x:c r="I35" s="22" t="n">
        <x:v>0</x:v>
      </x:c>
      <x:c r="J35" s="22" t="n">
        <x:v>0</x:v>
      </x:c>
      <x:c r="K35" s="22" t="n">
        <x:v>0</x:v>
      </x:c>
      <x:c r="L35" s="22" t="n">
        <x:v>0</x:v>
      </x:c>
      <x:c r="M35" s="22" t="n">
        <x:v>0</x:v>
      </x:c>
      <x:c r="N35" s="22" t="n">
        <x:v>0</x:v>
      </x:c>
      <x:c r="O35" s="22" t="n">
        <x:v>0</x:v>
      </x:c>
      <x:c r="P35" s="22" t="n">
        <x:v>0</x:v>
      </x:c>
      <x:c r="Q35" s="22" t="n">
        <x:v>0</x:v>
      </x:c>
      <x:c r="R35" s="22" t="n">
        <x:v>0</x:v>
      </x:c>
      <x:c r="S35" s="22" t="n">
        <x:v>0</x:v>
      </x:c>
      <x:c r="T35" s="22" t="n">
        <x:v>0</x:v>
      </x:c>
      <x:c r="U35" s="22" t="n">
        <x:v>0</x:v>
      </x:c>
      <x:c r="V35" s="22" t="n">
        <x:v>0</x:v>
      </x:c>
      <x:c r="W35" s="22" t="n">
        <x:v>0</x:v>
      </x:c>
      <x:c r="X35" s="22" t="n">
        <x:v>0</x:v>
      </x:c>
      <x:c r="Y35" s="22" t="n">
        <x:v>0</x:v>
      </x:c>
      <x:c r="Z35" s="22" t="n">
        <x:v>0</x:v>
      </x:c>
      <x:c r="AA35" s="22" t="n">
        <x:v>0</x:v>
      </x:c>
      <x:c r="AB35" s="22" t="n">
        <x:v>0</x:v>
      </x:c>
      <x:c r="AC35" s="22" t="n">
        <x:v>0</x:v>
      </x:c>
      <x:c r="AD35" s="22" t="n">
        <x:v>0</x:v>
      </x:c>
      <x:c r="AE35" s="22" t="n">
        <x:v>0</x:v>
      </x:c>
      <x:c r="AF35" s="22" t="n">
        <x:v>0</x:v>
      </x:c>
      <x:c r="AG35" s="22" t="n">
        <x:v>0</x:v>
      </x:c>
      <x:c r="AH35" s="22" t="n">
        <x:v>0</x:v>
      </x:c>
      <x:c r="AI35" s="22" t="n">
        <x:v>0</x:v>
      </x:c>
      <x:c r="AJ35" s="22" t="n">
        <x:v>0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0</x:v>
      </x:c>
      <x:c r="AR35" s="22" t="n">
        <x:v>0</x:v>
      </x:c>
      <x:c r="AS35" s="22" t="n">
        <x:v>0</x:v>
      </x:c>
      <x:c r="AT35" s="22" t="n">
        <x:v>0</x:v>
      </x:c>
      <x:c r="AU35" s="22" t="n">
        <x:v>0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</x:row>
    <x:row r="36">
      <x:c r="A36" s="13" t="str">
        <x:v>固定費</x:v>
      </x:c>
      <x:c r="B36" s="13" t="str">
        <x:v>その他固定費</x:v>
      </x:c>
      <x:c r="C36" s="22" t="n">
        <x:v>200</x:v>
      </x:c>
      <x:c r="D36" s="22" t="n">
        <x:v>200</x:v>
      </x:c>
      <x:c r="E36" s="22" t="n">
        <x:v>200</x:v>
      </x:c>
      <x:c r="F36" s="22" t="n">
        <x:v>200</x:v>
      </x:c>
      <x:c r="G36" s="22" t="n">
        <x:v>200</x:v>
      </x:c>
      <x:c r="H36" s="22" t="n">
        <x:v>200</x:v>
      </x:c>
      <x:c r="I36" s="22" t="n">
        <x:v>200</x:v>
      </x:c>
      <x:c r="J36" s="22" t="n">
        <x:v>200</x:v>
      </x:c>
      <x:c r="K36" s="22" t="n">
        <x:v>200</x:v>
      </x:c>
      <x:c r="L36" s="22" t="n">
        <x:v>200</x:v>
      </x:c>
      <x:c r="M36" s="22" t="n">
        <x:v>200</x:v>
      </x:c>
      <x:c r="N36" s="22" t="n">
        <x:v>200</x:v>
      </x:c>
      <x:c r="O36" s="22" t="n">
        <x:v>200</x:v>
      </x:c>
      <x:c r="P36" s="22" t="n">
        <x:v>200</x:v>
      </x:c>
      <x:c r="Q36" s="22" t="n">
        <x:v>200</x:v>
      </x:c>
      <x:c r="R36" s="22" t="n">
        <x:v>200</x:v>
      </x:c>
      <x:c r="S36" s="22" t="n">
        <x:v>200</x:v>
      </x:c>
      <x:c r="T36" s="22" t="n">
        <x:v>200</x:v>
      </x:c>
      <x:c r="U36" s="22" t="n">
        <x:v>200</x:v>
      </x:c>
      <x:c r="V36" s="22" t="n">
        <x:v>200</x:v>
      </x:c>
      <x:c r="W36" s="22" t="n">
        <x:v>200</x:v>
      </x:c>
      <x:c r="X36" s="22" t="n">
        <x:v>200</x:v>
      </x:c>
      <x:c r="Y36" s="22" t="n">
        <x:v>200</x:v>
      </x:c>
      <x:c r="Z36" s="22" t="n">
        <x:v>200</x:v>
      </x:c>
      <x:c r="AA36" s="22" t="n">
        <x:v>200</x:v>
      </x:c>
      <x:c r="AB36" s="22" t="n">
        <x:v>200</x:v>
      </x:c>
      <x:c r="AC36" s="22" t="n">
        <x:v>200</x:v>
      </x:c>
      <x:c r="AD36" s="22" t="n">
        <x:v>200</x:v>
      </x:c>
      <x:c r="AE36" s="22" t="n">
        <x:v>200</x:v>
      </x:c>
      <x:c r="AF36" s="22" t="n">
        <x:v>200</x:v>
      </x:c>
      <x:c r="AG36" s="22" t="n">
        <x:v>200</x:v>
      </x:c>
      <x:c r="AH36" s="22" t="n">
        <x:v>200</x:v>
      </x:c>
      <x:c r="AI36" s="22" t="n">
        <x:v>200</x:v>
      </x:c>
      <x:c r="AJ36" s="22" t="n">
        <x:v>200</x:v>
      </x:c>
      <x:c r="AK36" s="22" t="n">
        <x:v>200</x:v>
      </x:c>
      <x:c r="AL36" s="22" t="n">
        <x:v>200</x:v>
      </x:c>
      <x:c r="AM36" s="22" t="n">
        <x:v>200</x:v>
      </x:c>
      <x:c r="AN36" s="22" t="n">
        <x:v>200</x:v>
      </x:c>
      <x:c r="AO36" s="22" t="n">
        <x:v>200</x:v>
      </x:c>
      <x:c r="AP36" s="22" t="n">
        <x:v>200</x:v>
      </x:c>
      <x:c r="AQ36" s="22" t="n">
        <x:v>200</x:v>
      </x:c>
      <x:c r="AR36" s="22" t="n">
        <x:v>200</x:v>
      </x:c>
      <x:c r="AS36" s="22" t="n">
        <x:v>200</x:v>
      </x:c>
      <x:c r="AT36" s="22" t="n">
        <x:v>200</x:v>
      </x:c>
      <x:c r="AU36" s="22" t="n">
        <x:v>200</x:v>
      </x:c>
      <x:c r="AV36" s="22" t="n">
        <x:v>200</x:v>
      </x:c>
      <x:c r="AW36" s="22" t="n">
        <x:v>200</x:v>
      </x:c>
      <x:c r="AX36" s="22" t="n">
        <x:v>200</x:v>
      </x:c>
      <x:c r="AY36" s="22" t="n">
        <x:v>200</x:v>
      </x:c>
      <x:c r="AZ36" s="22" t="n">
        <x:v>200</x:v>
      </x:c>
      <x:c r="BA36" s="22" t="n">
        <x:v>200</x:v>
      </x:c>
      <x:c r="BB36" s="22" t="n">
        <x:v>200</x:v>
      </x:c>
      <x:c r="BC36" s="22" t="n">
        <x:v>200</x:v>
      </x:c>
      <x:c r="BD36" s="22" t="n">
        <x:v>200</x:v>
      </x:c>
      <x:c r="BE36" s="22" t="n">
        <x:v>200</x:v>
      </x:c>
      <x:c r="BF36" s="22" t="n">
        <x:v>200</x:v>
      </x:c>
      <x:c r="BG36" s="22" t="n">
        <x:v>200</x:v>
      </x:c>
      <x:c r="BH36" s="22" t="n">
        <x:v>200</x:v>
      </x:c>
      <x:c r="BI36" s="22" t="n">
        <x:v>200</x:v>
      </x:c>
      <x:c r="BJ36" s="22" t="n">
        <x:v>200</x:v>
      </x:c>
    </x:row>
    <x:row r="37">
      <x:c r="A37" s="13" t="str">
        <x:v>固定費</x:v>
      </x:c>
      <x:c r="B37" s="13" t="str">
        <x:v>固定費合計</x:v>
      </x:c>
      <x:c r="C37" s="23" t="n">
        <x:f>SUM(C32:C36)</x:f>
        <x:v>280</x:v>
      </x:c>
      <x:c r="D37" s="23" t="n">
        <x:f>SUM(D32:D36)</x:f>
        <x:v>280</x:v>
      </x:c>
      <x:c r="E37" s="23" t="n">
        <x:f>SUM(E32:E36)</x:f>
        <x:v>280</x:v>
      </x:c>
      <x:c r="F37" s="23" t="n">
        <x:f>SUM(F32:F36)</x:f>
        <x:v>280</x:v>
      </x:c>
      <x:c r="G37" s="23" t="n">
        <x:f>SUM(G32:G36)</x:f>
        <x:v>280</x:v>
      </x:c>
      <x:c r="H37" s="23" t="n">
        <x:f>SUM(H32:H36)</x:f>
        <x:v>280</x:v>
      </x:c>
      <x:c r="I37" s="23" t="n">
        <x:f>SUM(I32:I36)</x:f>
        <x:v>280</x:v>
      </x:c>
      <x:c r="J37" s="23" t="n">
        <x:f>SUM(J32:J36)</x:f>
        <x:v>280</x:v>
      </x:c>
      <x:c r="K37" s="23" t="n">
        <x:f>SUM(K32:K36)</x:f>
        <x:v>280</x:v>
      </x:c>
      <x:c r="L37" s="23" t="n">
        <x:f>SUM(L32:L36)</x:f>
        <x:v>280</x:v>
      </x:c>
      <x:c r="M37" s="23" t="n">
        <x:f>SUM(M32:M36)</x:f>
        <x:v>280</x:v>
      </x:c>
      <x:c r="N37" s="23" t="n">
        <x:f>SUM(N32:N36)</x:f>
        <x:v>280</x:v>
      </x:c>
      <x:c r="O37" s="23" t="n">
        <x:f>SUM(O32:O36)</x:f>
        <x:v>280</x:v>
      </x:c>
      <x:c r="P37" s="23" t="n">
        <x:f>SUM(P32:P36)</x:f>
        <x:v>280</x:v>
      </x:c>
      <x:c r="Q37" s="23" t="n">
        <x:f>SUM(Q32:Q36)</x:f>
        <x:v>280</x:v>
      </x:c>
      <x:c r="R37" s="23" t="n">
        <x:f>SUM(R32:R36)</x:f>
        <x:v>280</x:v>
      </x:c>
      <x:c r="S37" s="23" t="n">
        <x:f>SUM(S32:S36)</x:f>
        <x:v>280</x:v>
      </x:c>
      <x:c r="T37" s="23" t="n">
        <x:f>SUM(T32:T36)</x:f>
        <x:v>280</x:v>
      </x:c>
      <x:c r="U37" s="23" t="n">
        <x:f>SUM(U32:U36)</x:f>
        <x:v>280</x:v>
      </x:c>
      <x:c r="V37" s="23" t="n">
        <x:f>SUM(V32:V36)</x:f>
        <x:v>280</x:v>
      </x:c>
      <x:c r="W37" s="23" t="n">
        <x:f>SUM(W32:W36)</x:f>
        <x:v>280</x:v>
      </x:c>
      <x:c r="X37" s="23" t="n">
        <x:f>SUM(X32:X36)</x:f>
        <x:v>280</x:v>
      </x:c>
      <x:c r="Y37" s="23" t="n">
        <x:f>SUM(Y32:Y36)</x:f>
        <x:v>280</x:v>
      </x:c>
      <x:c r="Z37" s="23" t="n">
        <x:f>SUM(Z32:Z36)</x:f>
        <x:v>280</x:v>
      </x:c>
      <x:c r="AA37" s="23" t="n">
        <x:f>SUM(AA32:AA36)</x:f>
        <x:v>280</x:v>
      </x:c>
      <x:c r="AB37" s="23" t="n">
        <x:f>SUM(AB32:AB36)</x:f>
        <x:v>280</x:v>
      </x:c>
      <x:c r="AC37" s="23" t="n">
        <x:f>SUM(AC32:AC36)</x:f>
        <x:v>280</x:v>
      </x:c>
      <x:c r="AD37" s="23" t="n">
        <x:f>SUM(AD32:AD36)</x:f>
        <x:v>280</x:v>
      </x:c>
      <x:c r="AE37" s="23" t="n">
        <x:f>SUM(AE32:AE36)</x:f>
        <x:v>280</x:v>
      </x:c>
      <x:c r="AF37" s="23" t="n">
        <x:f>SUM(AF32:AF36)</x:f>
        <x:v>280</x:v>
      </x:c>
      <x:c r="AG37" s="23" t="n">
        <x:f>SUM(AG32:AG36)</x:f>
        <x:v>280</x:v>
      </x:c>
      <x:c r="AH37" s="23" t="n">
        <x:f>SUM(AH32:AH36)</x:f>
        <x:v>280</x:v>
      </x:c>
      <x:c r="AI37" s="23" t="n">
        <x:f>SUM(AI32:AI36)</x:f>
        <x:v>280</x:v>
      </x:c>
      <x:c r="AJ37" s="23" t="n">
        <x:f>SUM(AJ32:AJ36)</x:f>
        <x:v>280</x:v>
      </x:c>
      <x:c r="AK37" s="23" t="n">
        <x:f>SUM(AK32:AK36)</x:f>
        <x:v>280</x:v>
      </x:c>
      <x:c r="AL37" s="23" t="n">
        <x:f>SUM(AL32:AL36)</x:f>
        <x:v>280</x:v>
      </x:c>
      <x:c r="AM37" s="23" t="n">
        <x:f>SUM(AM32:AM36)</x:f>
        <x:v>280</x:v>
      </x:c>
      <x:c r="AN37" s="23" t="n">
        <x:f>SUM(AN32:AN36)</x:f>
        <x:v>280</x:v>
      </x:c>
      <x:c r="AO37" s="23" t="n">
        <x:f>SUM(AO32:AO36)</x:f>
        <x:v>280</x:v>
      </x:c>
      <x:c r="AP37" s="23" t="n">
        <x:f>SUM(AP32:AP36)</x:f>
        <x:v>280</x:v>
      </x:c>
      <x:c r="AQ37" s="23" t="n">
        <x:f>SUM(AQ32:AQ36)</x:f>
        <x:v>280</x:v>
      </x:c>
      <x:c r="AR37" s="23" t="n">
        <x:f>SUM(AR32:AR36)</x:f>
        <x:v>280</x:v>
      </x:c>
      <x:c r="AS37" s="23" t="n">
        <x:f>SUM(AS32:AS36)</x:f>
        <x:v>280</x:v>
      </x:c>
      <x:c r="AT37" s="23" t="n">
        <x:f>SUM(AT32:AT36)</x:f>
        <x:v>280</x:v>
      </x:c>
      <x:c r="AU37" s="23" t="n">
        <x:f>SUM(AU32:AU36)</x:f>
        <x:v>280</x:v>
      </x:c>
      <x:c r="AV37" s="23" t="n">
        <x:f>SUM(AV32:AV36)</x:f>
        <x:v>280</x:v>
      </x:c>
      <x:c r="AW37" s="23" t="n">
        <x:f>SUM(AW32:AW36)</x:f>
        <x:v>280</x:v>
      </x:c>
      <x:c r="AX37" s="23" t="n">
        <x:f>SUM(AX32:AX36)</x:f>
        <x:v>280</x:v>
      </x:c>
      <x:c r="AY37" s="23" t="n">
        <x:f>SUM(AY32:AY36)</x:f>
        <x:v>280</x:v>
      </x:c>
      <x:c r="AZ37" s="23" t="n">
        <x:f>SUM(AZ32:AZ36)</x:f>
        <x:v>280</x:v>
      </x:c>
      <x:c r="BA37" s="23" t="n">
        <x:f>SUM(BA32:BA36)</x:f>
        <x:v>280</x:v>
      </x:c>
      <x:c r="BB37" s="23" t="n">
        <x:f>SUM(BB32:BB36)</x:f>
        <x:v>280</x:v>
      </x:c>
      <x:c r="BC37" s="23" t="n">
        <x:f>SUM(BC32:BC36)</x:f>
        <x:v>280</x:v>
      </x:c>
      <x:c r="BD37" s="23" t="n">
        <x:f>SUM(BD32:BD36)</x:f>
        <x:v>280</x:v>
      </x:c>
      <x:c r="BE37" s="23" t="n">
        <x:f>SUM(BE32:BE36)</x:f>
        <x:v>280</x:v>
      </x:c>
      <x:c r="BF37" s="23" t="n">
        <x:f>SUM(BF32:BF36)</x:f>
        <x:v>280</x:v>
      </x:c>
      <x:c r="BG37" s="23" t="n">
        <x:f>SUM(BG32:BG36)</x:f>
        <x:v>280</x:v>
      </x:c>
      <x:c r="BH37" s="23" t="n">
        <x:f>SUM(BH32:BH36)</x:f>
        <x:v>280</x:v>
      </x:c>
      <x:c r="BI37" s="23" t="n">
        <x:f>SUM(BI32:BI36)</x:f>
        <x:v>280</x:v>
      </x:c>
      <x:c r="BJ37" s="23" t="n">
        <x:f>SUM(BJ32:BJ36)</x:f>
        <x:v>280</x:v>
      </x:c>
    </x:row>
    <x:row r="38">
      <x:c r="A38" s="13" t="str">
        <x:v>MCコスト</x:v>
      </x:c>
      <x:c r="B38" s="13" t="str">
        <x:v>MC固定費</x:v>
      </x:c>
      <x:c r="C38" s="22" t="n">
        <x:v>150</x:v>
      </x:c>
      <x:c r="D38" s="22" t="n">
        <x:v>150</x:v>
      </x:c>
      <x:c r="E38" s="22" t="n">
        <x:v>150</x:v>
      </x:c>
      <x:c r="F38" s="22" t="n">
        <x:v>150</x:v>
      </x:c>
      <x:c r="G38" s="22" t="n">
        <x:v>150</x:v>
      </x:c>
      <x:c r="H38" s="22" t="n">
        <x:v>150</x:v>
      </x:c>
      <x:c r="I38" s="22" t="n">
        <x:v>150</x:v>
      </x:c>
      <x:c r="J38" s="22" t="n">
        <x:v>150</x:v>
      </x:c>
      <x:c r="K38" s="22" t="n">
        <x:v>150</x:v>
      </x:c>
      <x:c r="L38" s="22" t="n">
        <x:v>150</x:v>
      </x:c>
      <x:c r="M38" s="22" t="n">
        <x:v>150</x:v>
      </x:c>
      <x:c r="N38" s="22" t="n">
        <x:v>150</x:v>
      </x:c>
      <x:c r="O38" s="22" t="n">
        <x:v>150</x:v>
      </x:c>
      <x:c r="P38" s="22" t="n">
        <x:v>150</x:v>
      </x:c>
      <x:c r="Q38" s="22" t="n">
        <x:v>150</x:v>
      </x:c>
      <x:c r="R38" s="22" t="n">
        <x:v>150</x:v>
      </x:c>
      <x:c r="S38" s="22" t="n">
        <x:v>150</x:v>
      </x:c>
      <x:c r="T38" s="22" t="n">
        <x:v>150</x:v>
      </x:c>
      <x:c r="U38" s="22" t="n">
        <x:v>150</x:v>
      </x:c>
      <x:c r="V38" s="22" t="n">
        <x:v>150</x:v>
      </x:c>
      <x:c r="W38" s="22" t="n">
        <x:v>150</x:v>
      </x:c>
      <x:c r="X38" s="22" t="n">
        <x:v>150</x:v>
      </x:c>
      <x:c r="Y38" s="22" t="n">
        <x:v>150</x:v>
      </x:c>
      <x:c r="Z38" s="22" t="n">
        <x:v>150</x:v>
      </x:c>
      <x:c r="AA38" s="22" t="n">
        <x:v>150</x:v>
      </x:c>
      <x:c r="AB38" s="22" t="n">
        <x:v>150</x:v>
      </x:c>
      <x:c r="AC38" s="22" t="n">
        <x:v>150</x:v>
      </x:c>
      <x:c r="AD38" s="22" t="n">
        <x:v>150</x:v>
      </x:c>
      <x:c r="AE38" s="22" t="n">
        <x:v>150</x:v>
      </x:c>
      <x:c r="AF38" s="22" t="n">
        <x:v>150</x:v>
      </x:c>
      <x:c r="AG38" s="22" t="n">
        <x:v>150</x:v>
      </x:c>
      <x:c r="AH38" s="22" t="n">
        <x:v>150</x:v>
      </x:c>
      <x:c r="AI38" s="22" t="n">
        <x:v>150</x:v>
      </x:c>
      <x:c r="AJ38" s="22" t="n">
        <x:v>150</x:v>
      </x:c>
      <x:c r="AK38" s="22" t="n">
        <x:v>150</x:v>
      </x:c>
      <x:c r="AL38" s="22" t="n">
        <x:v>150</x:v>
      </x:c>
      <x:c r="AM38" s="22" t="n">
        <x:v>150</x:v>
      </x:c>
      <x:c r="AN38" s="22" t="n">
        <x:v>150</x:v>
      </x:c>
      <x:c r="AO38" s="22" t="n">
        <x:v>150</x:v>
      </x:c>
      <x:c r="AP38" s="22" t="n">
        <x:v>150</x:v>
      </x:c>
      <x:c r="AQ38" s="22" t="n">
        <x:v>150</x:v>
      </x:c>
      <x:c r="AR38" s="22" t="n">
        <x:v>150</x:v>
      </x:c>
      <x:c r="AS38" s="22" t="n">
        <x:v>150</x:v>
      </x:c>
      <x:c r="AT38" s="22" t="n">
        <x:v>150</x:v>
      </x:c>
      <x:c r="AU38" s="22" t="n">
        <x:v>150</x:v>
      </x:c>
      <x:c r="AV38" s="22" t="n">
        <x:v>150</x:v>
      </x:c>
      <x:c r="AW38" s="22" t="n">
        <x:v>150</x:v>
      </x:c>
      <x:c r="AX38" s="22" t="n">
        <x:v>150</x:v>
      </x:c>
      <x:c r="AY38" s="22" t="n">
        <x:v>150</x:v>
      </x:c>
      <x:c r="AZ38" s="22" t="n">
        <x:v>150</x:v>
      </x:c>
      <x:c r="BA38" s="22" t="n">
        <x:v>150</x:v>
      </x:c>
      <x:c r="BB38" s="22" t="n">
        <x:v>150</x:v>
      </x:c>
      <x:c r="BC38" s="22" t="n">
        <x:v>150</x:v>
      </x:c>
      <x:c r="BD38" s="22" t="n">
        <x:v>150</x:v>
      </x:c>
      <x:c r="BE38" s="22" t="n">
        <x:v>150</x:v>
      </x:c>
      <x:c r="BF38" s="22" t="n">
        <x:v>150</x:v>
      </x:c>
      <x:c r="BG38" s="22" t="n">
        <x:v>150</x:v>
      </x:c>
      <x:c r="BH38" s="22" t="n">
        <x:v>150</x:v>
      </x:c>
      <x:c r="BI38" s="22" t="n">
        <x:v>150</x:v>
      </x:c>
      <x:c r="BJ38" s="22" t="n">
        <x:v>150</x:v>
      </x:c>
    </x:row>
    <x:row r="39">
      <x:c r="A39" s="13" t="str">
        <x:v>MCコスト</x:v>
      </x:c>
      <x:c r="B39" s="13" t="str">
        <x:v>MC変動率</x:v>
      </x:c>
      <x:c r="C39" s="26" t="n">
        <x:v>0.15</x:v>
      </x:c>
      <x:c r="D39" s="26" t="n">
        <x:v>0.15</x:v>
      </x:c>
      <x:c r="E39" s="26" t="n">
        <x:v>0.15</x:v>
      </x:c>
      <x:c r="F39" s="26" t="n">
        <x:v>0.15</x:v>
      </x:c>
      <x:c r="G39" s="26" t="n">
        <x:v>0.15</x:v>
      </x:c>
      <x:c r="H39" s="26" t="n">
        <x:v>0.15</x:v>
      </x:c>
      <x:c r="I39" s="26" t="n">
        <x:v>0.15</x:v>
      </x:c>
      <x:c r="J39" s="26" t="n">
        <x:v>0.15</x:v>
      </x:c>
      <x:c r="K39" s="26" t="n">
        <x:v>0.15</x:v>
      </x:c>
      <x:c r="L39" s="26" t="n">
        <x:v>0.15</x:v>
      </x:c>
      <x:c r="M39" s="26" t="n">
        <x:v>0.15</x:v>
      </x:c>
      <x:c r="N39" s="26" t="n">
        <x:v>0.15</x:v>
      </x:c>
      <x:c r="O39" s="26" t="n">
        <x:v>0.15</x:v>
      </x:c>
      <x:c r="P39" s="26" t="n">
        <x:v>0.15</x:v>
      </x:c>
      <x:c r="Q39" s="26" t="n">
        <x:v>0.15</x:v>
      </x:c>
      <x:c r="R39" s="26" t="n">
        <x:v>0.15</x:v>
      </x:c>
      <x:c r="S39" s="26" t="n">
        <x:v>0.15</x:v>
      </x:c>
      <x:c r="T39" s="26" t="n">
        <x:v>0.15</x:v>
      </x:c>
      <x:c r="U39" s="26" t="n">
        <x:v>0.15</x:v>
      </x:c>
      <x:c r="V39" s="26" t="n">
        <x:v>0.15</x:v>
      </x:c>
      <x:c r="W39" s="26" t="n">
        <x:v>0.15</x:v>
      </x:c>
      <x:c r="X39" s="26" t="n">
        <x:v>0.15</x:v>
      </x:c>
      <x:c r="Y39" s="26" t="n">
        <x:v>0.15</x:v>
      </x:c>
      <x:c r="Z39" s="26" t="n">
        <x:v>0.15</x:v>
      </x:c>
      <x:c r="AA39" s="26" t="n">
        <x:v>0.15</x:v>
      </x:c>
      <x:c r="AB39" s="26" t="n">
        <x:v>0.15</x:v>
      </x:c>
      <x:c r="AC39" s="26" t="n">
        <x:v>0.15</x:v>
      </x:c>
      <x:c r="AD39" s="26" t="n">
        <x:v>0.15</x:v>
      </x:c>
      <x:c r="AE39" s="26" t="n">
        <x:v>0.15</x:v>
      </x:c>
      <x:c r="AF39" s="26" t="n">
        <x:v>0.15</x:v>
      </x:c>
      <x:c r="AG39" s="26" t="n">
        <x:v>0.15</x:v>
      </x:c>
      <x:c r="AH39" s="26" t="n">
        <x:v>0.15</x:v>
      </x:c>
      <x:c r="AI39" s="26" t="n">
        <x:v>0.15</x:v>
      </x:c>
      <x:c r="AJ39" s="26" t="n">
        <x:v>0.15</x:v>
      </x:c>
      <x:c r="AK39" s="26" t="n">
        <x:v>0.15</x:v>
      </x:c>
      <x:c r="AL39" s="26" t="n">
        <x:v>0.15</x:v>
      </x:c>
      <x:c r="AM39" s="26" t="n">
        <x:v>0.15</x:v>
      </x:c>
      <x:c r="AN39" s="26" t="n">
        <x:v>0.15</x:v>
      </x:c>
      <x:c r="AO39" s="26" t="n">
        <x:v>0.15</x:v>
      </x:c>
      <x:c r="AP39" s="26" t="n">
        <x:v>0.15</x:v>
      </x:c>
      <x:c r="AQ39" s="26" t="n">
        <x:v>0.15</x:v>
      </x:c>
      <x:c r="AR39" s="26" t="n">
        <x:v>0.15</x:v>
      </x:c>
      <x:c r="AS39" s="26" t="n">
        <x:v>0.15</x:v>
      </x:c>
      <x:c r="AT39" s="26" t="n">
        <x:v>0.15</x:v>
      </x:c>
      <x:c r="AU39" s="26" t="n">
        <x:v>0.15</x:v>
      </x:c>
      <x:c r="AV39" s="26" t="n">
        <x:v>0.15</x:v>
      </x:c>
      <x:c r="AW39" s="26" t="n">
        <x:v>0.15</x:v>
      </x:c>
      <x:c r="AX39" s="26" t="n">
        <x:v>0.15</x:v>
      </x:c>
      <x:c r="AY39" s="26" t="n">
        <x:v>0.15</x:v>
      </x:c>
      <x:c r="AZ39" s="26" t="n">
        <x:v>0.15</x:v>
      </x:c>
      <x:c r="BA39" s="26" t="n">
        <x:v>0.15</x:v>
      </x:c>
      <x:c r="BB39" s="26" t="n">
        <x:v>0.15</x:v>
      </x:c>
      <x:c r="BC39" s="26" t="n">
        <x:v>0.15</x:v>
      </x:c>
      <x:c r="BD39" s="26" t="n">
        <x:v>0.15</x:v>
      </x:c>
      <x:c r="BE39" s="26" t="n">
        <x:v>0.15</x:v>
      </x:c>
      <x:c r="BF39" s="26" t="n">
        <x:v>0.15</x:v>
      </x:c>
      <x:c r="BG39" s="26" t="n">
        <x:v>0.15</x:v>
      </x:c>
      <x:c r="BH39" s="26" t="n">
        <x:v>0.15</x:v>
      </x:c>
      <x:c r="BI39" s="26" t="n">
        <x:v>0.15</x:v>
      </x:c>
      <x:c r="BJ39" s="26" t="n">
        <x:v>0.15</x:v>
      </x:c>
    </x:row>
    <x:row r="40">
      <x:c r="A40" s="13" t="str">
        <x:v>MCコスト</x:v>
      </x:c>
      <x:c r="B40" s="13" t="str">
        <x:v>GOP before MC</x:v>
      </x:c>
      <x:c r="C40" s="23" t="n">
        <x:f>C14-C23-C31-C37</x:f>
        <x:v>248.2550000000001</x:v>
      </x:c>
      <x:c r="D40" s="23" t="n">
        <x:f>D14-D23-D31-D37</x:f>
        <x:v>265.8634999999998</x:v>
      </x:c>
      <x:c r="E40" s="23" t="n">
        <x:f>E14-E23-E31-E37</x:f>
        <x:v>248.2550000000001</x:v>
      </x:c>
      <x:c r="F40" s="23" t="n">
        <x:f>F14-F23-F31-F37</x:f>
        <x:v>2629.226000000001</x:v>
      </x:c>
      <x:c r="G40" s="23" t="n">
        <x:f>G14-G23-G31-G37</x:f>
        <x:v>2629.226000000001</x:v>
      </x:c>
      <x:c r="H40" s="23" t="n">
        <x:f>H14-H23-H31-H37</x:f>
        <x:v>248.2550000000001</x:v>
      </x:c>
      <x:c r="I40" s="23" t="n">
        <x:f>I14-I23-I31-I37</x:f>
        <x:v>265.8634999999998</x:v>
      </x:c>
      <x:c r="J40" s="23" t="n">
        <x:f>J14-J23-J31-J37</x:f>
        <x:v>248.2550000000001</x:v>
      </x:c>
      <x:c r="K40" s="23" t="n">
        <x:f>K14-K23-K31-K37</x:f>
        <x:v>2629.226000000001</x:v>
      </x:c>
      <x:c r="L40" s="23" t="n">
        <x:f>L14-L23-L31-L37</x:f>
        <x:v>4725.7715</x:v>
      </x:c>
      <x:c r="M40" s="23" t="n">
        <x:f>M14-M23-M31-M37</x:f>
        <x:v>4241.341999999999</x:v>
      </x:c>
      <x:c r="N40" s="23" t="n">
        <x:f>N14-N23-N31-N37</x:f>
        <x:v>790.6625000000001</x:v>
      </x:c>
      <x:c r="O40" s="23" t="n">
        <x:f>O14-O23-O31-O37</x:f>
        <x:v>248.2550000000001</x:v>
      </x:c>
      <x:c r="P40" s="23" t="n">
        <x:f>P14-P23-P31-P37</x:f>
        <x:v>265.8634999999998</x:v>
      </x:c>
      <x:c r="Q40" s="23" t="n">
        <x:f>Q14-Q23-Q31-Q37</x:f>
        <x:v>248.2550000000001</x:v>
      </x:c>
      <x:c r="R40" s="23" t="n">
        <x:f>R14-R23-R31-R37</x:f>
        <x:v>2629.226000000001</x:v>
      </x:c>
      <x:c r="S40" s="23" t="n">
        <x:f>S14-S23-S31-S37</x:f>
        <x:v>2629.226000000001</x:v>
      </x:c>
      <x:c r="T40" s="23" t="n">
        <x:f>T14-T23-T31-T37</x:f>
        <x:v>248.2550000000001</x:v>
      </x:c>
      <x:c r="U40" s="23" t="n">
        <x:f>U14-U23-U31-U37</x:f>
        <x:v>265.8634999999998</x:v>
      </x:c>
      <x:c r="V40" s="23" t="n">
        <x:f>V14-V23-V31-V37</x:f>
        <x:v>248.2550000000001</x:v>
      </x:c>
      <x:c r="W40" s="23" t="n">
        <x:f>W14-W23-W31-W37</x:f>
        <x:v>2629.226000000001</x:v>
      </x:c>
      <x:c r="X40" s="23" t="n">
        <x:f>X14-X23-X31-X37</x:f>
        <x:v>4725.7715</x:v>
      </x:c>
      <x:c r="Y40" s="23" t="n">
        <x:f>Y14-Y23-Y31-Y37</x:f>
        <x:v>4402.818499999999</x:v>
      </x:c>
      <x:c r="Z40" s="23" t="n">
        <x:f>Z14-Z23-Z31-Z37</x:f>
        <x:v>790.6625000000001</x:v>
      </x:c>
      <x:c r="AA40" s="23" t="n">
        <x:f>AA14-AA23-AA31-AA37</x:f>
        <x:v>248.2550000000001</x:v>
      </x:c>
      <x:c r="AB40" s="23" t="n">
        <x:f>AB14-AB23-AB31-AB37</x:f>
        <x:v>265.8634999999998</x:v>
      </x:c>
      <x:c r="AC40" s="23" t="n">
        <x:f>AC14-AC23-AC31-AC37</x:f>
        <x:v>248.2550000000001</x:v>
      </x:c>
      <x:c r="AD40" s="23" t="n">
        <x:f>AD14-AD23-AD31-AD37</x:f>
        <x:v>2629.226000000001</x:v>
      </x:c>
      <x:c r="AE40" s="23" t="n">
        <x:f>AE14-AE23-AE31-AE37</x:f>
        <x:v>2629.226000000001</x:v>
      </x:c>
      <x:c r="AF40" s="23" t="n">
        <x:f>AF14-AF23-AF31-AF37</x:f>
        <x:v>248.2550000000001</x:v>
      </x:c>
      <x:c r="AG40" s="23" t="n">
        <x:f>AG14-AG23-AG31-AG37</x:f>
        <x:v>265.8634999999998</x:v>
      </x:c>
      <x:c r="AH40" s="23" t="n">
        <x:f>AH14-AH23-AH31-AH37</x:f>
        <x:v>248.2550000000001</x:v>
      </x:c>
      <x:c r="AI40" s="23" t="n">
        <x:f>AI14-AI23-AI31-AI37</x:f>
        <x:v>2629.226000000001</x:v>
      </x:c>
      <x:c r="AJ40" s="23" t="n">
        <x:f>AJ14-AJ23-AJ31-AJ37</x:f>
        <x:v>4725.7715</x:v>
      </x:c>
      <x:c r="AK40" s="23" t="n">
        <x:f>AK14-AK23-AK31-AK37</x:f>
        <x:v>4241.341999999999</x:v>
      </x:c>
      <x:c r="AL40" s="23" t="n">
        <x:f>AL14-AL23-AL31-AL37</x:f>
        <x:v>790.6625000000001</x:v>
      </x:c>
      <x:c r="AM40" s="23" t="n">
        <x:f>AM14-AM23-AM31-AM37</x:f>
        <x:v>248.2550000000001</x:v>
      </x:c>
      <x:c r="AN40" s="23" t="n">
        <x:f>AN14-AN23-AN31-AN37</x:f>
        <x:v>265.8634999999998</x:v>
      </x:c>
      <x:c r="AO40" s="23" t="n">
        <x:f>AO14-AO23-AO31-AO37</x:f>
        <x:v>248.2550000000001</x:v>
      </x:c>
      <x:c r="AP40" s="23" t="n">
        <x:f>AP14-AP23-AP31-AP37</x:f>
        <x:v>2629.226000000001</x:v>
      </x:c>
      <x:c r="AQ40" s="23" t="n">
        <x:f>AQ14-AQ23-AQ31-AQ37</x:f>
        <x:v>2629.226000000001</x:v>
      </x:c>
      <x:c r="AR40" s="23" t="n">
        <x:f>AR14-AR23-AR31-AR37</x:f>
        <x:v>248.2550000000001</x:v>
      </x:c>
      <x:c r="AS40" s="23" t="n">
        <x:f>AS14-AS23-AS31-AS37</x:f>
        <x:v>265.8634999999998</x:v>
      </x:c>
      <x:c r="AT40" s="23" t="n">
        <x:f>AT14-AT23-AT31-AT37</x:f>
        <x:v>248.2550000000001</x:v>
      </x:c>
      <x:c r="AU40" s="23" t="n">
        <x:f>AU14-AU23-AU31-AU37</x:f>
        <x:v>2629.226000000001</x:v>
      </x:c>
      <x:c r="AV40" s="23" t="n">
        <x:f>AV14-AV23-AV31-AV37</x:f>
        <x:v>4725.7715</x:v>
      </x:c>
      <x:c r="AW40" s="23" t="n">
        <x:f>AW14-AW23-AW31-AW37</x:f>
        <x:v>4241.341999999999</x:v>
      </x:c>
      <x:c r="AX40" s="23" t="n">
        <x:f>AX14-AX23-AX31-AX37</x:f>
        <x:v>790.6625000000001</x:v>
      </x:c>
      <x:c r="AY40" s="23" t="n">
        <x:f>AY14-AY23-AY31-AY37</x:f>
        <x:v>248.2550000000001</x:v>
      </x:c>
      <x:c r="AZ40" s="23" t="n">
        <x:f>AZ14-AZ23-AZ31-AZ37</x:f>
        <x:v>265.8634999999998</x:v>
      </x:c>
      <x:c r="BA40" s="23" t="n">
        <x:f>BA14-BA23-BA31-BA37</x:f>
        <x:v>248.2550000000001</x:v>
      </x:c>
      <x:c r="BB40" s="23" t="n">
        <x:f>BB14-BB23-BB31-BB37</x:f>
        <x:v>2629.226000000001</x:v>
      </x:c>
      <x:c r="BC40" s="23" t="n">
        <x:f>BC14-BC23-BC31-BC37</x:f>
        <x:v>2629.226000000001</x:v>
      </x:c>
      <x:c r="BD40" s="23" t="n">
        <x:f>BD14-BD23-BD31-BD37</x:f>
        <x:v>248.2550000000001</x:v>
      </x:c>
      <x:c r="BE40" s="23" t="n">
        <x:f>BE14-BE23-BE31-BE37</x:f>
        <x:v>265.8634999999998</x:v>
      </x:c>
      <x:c r="BF40" s="23" t="n">
        <x:f>BF14-BF23-BF31-BF37</x:f>
        <x:v>248.2550000000001</x:v>
      </x:c>
      <x:c r="BG40" s="23" t="n">
        <x:f>BG14-BG23-BG31-BG37</x:f>
        <x:v>2629.226000000001</x:v>
      </x:c>
      <x:c r="BH40" s="23" t="n">
        <x:f>BH14-BH23-BH31-BH37</x:f>
        <x:v>4725.7715</x:v>
      </x:c>
      <x:c r="BI40" s="23" t="n">
        <x:f>BI14-BI23-BI31-BI37</x:f>
        <x:v>4241.341999999999</x:v>
      </x:c>
      <x:c r="BJ40" s="23" t="n">
        <x:f>BJ14-BJ23-BJ31-BJ37</x:f>
        <x:v>790.6625000000001</x:v>
      </x:c>
    </x:row>
    <x:row r="41">
      <x:c r="A41" s="13" t="str">
        <x:v>MCコスト</x:v>
      </x:c>
      <x:c r="B41" s="13" t="str">
        <x:v>MC変動費</x:v>
      </x:c>
      <x:c r="C41" s="23" t="n">
        <x:f>MAX(0,C40*C39)</x:f>
        <x:v>37.238250000000015</x:v>
      </x:c>
      <x:c r="D41" s="23" t="n">
        <x:f>MAX(0,D40*D39)</x:f>
        <x:v>39.87952499999997</x:v>
      </x:c>
      <x:c r="E41" s="23" t="n">
        <x:f>MAX(0,E40*E39)</x:f>
        <x:v>37.238250000000015</x:v>
      </x:c>
      <x:c r="F41" s="23" t="n">
        <x:f>MAX(0,F40*F39)</x:f>
        <x:v>394.38390000000015</x:v>
      </x:c>
      <x:c r="G41" s="23" t="n">
        <x:f>MAX(0,G40*G39)</x:f>
        <x:v>394.38390000000015</x:v>
      </x:c>
      <x:c r="H41" s="23" t="n">
        <x:f>MAX(0,H40*H39)</x:f>
        <x:v>37.238250000000015</x:v>
      </x:c>
      <x:c r="I41" s="23" t="n">
        <x:f>MAX(0,I40*I39)</x:f>
        <x:v>39.87952499999997</x:v>
      </x:c>
      <x:c r="J41" s="23" t="n">
        <x:f>MAX(0,J40*J39)</x:f>
        <x:v>37.238250000000015</x:v>
      </x:c>
      <x:c r="K41" s="23" t="n">
        <x:f>MAX(0,K40*K39)</x:f>
        <x:v>394.38390000000015</x:v>
      </x:c>
      <x:c r="L41" s="23" t="n">
        <x:f>MAX(0,L40*L39)</x:f>
        <x:v>708.865725</x:v>
      </x:c>
      <x:c r="M41" s="23" t="n">
        <x:f>MAX(0,M40*M39)</x:f>
        <x:v>636.2012999999998</x:v>
      </x:c>
      <x:c r="N41" s="23" t="n">
        <x:f>MAX(0,N40*N39)</x:f>
        <x:v>118.59937500000001</x:v>
      </x:c>
      <x:c r="O41" s="23" t="n">
        <x:f>MAX(0,O40*O39)</x:f>
        <x:v>37.238250000000015</x:v>
      </x:c>
      <x:c r="P41" s="23" t="n">
        <x:f>MAX(0,P40*P39)</x:f>
        <x:v>39.87952499999997</x:v>
      </x:c>
      <x:c r="Q41" s="23" t="n">
        <x:f>MAX(0,Q40*Q39)</x:f>
        <x:v>37.238250000000015</x:v>
      </x:c>
      <x:c r="R41" s="23" t="n">
        <x:f>MAX(0,R40*R39)</x:f>
        <x:v>394.38390000000015</x:v>
      </x:c>
      <x:c r="S41" s="23" t="n">
        <x:f>MAX(0,S40*S39)</x:f>
        <x:v>394.38390000000015</x:v>
      </x:c>
      <x:c r="T41" s="23" t="n">
        <x:f>MAX(0,T40*T39)</x:f>
        <x:v>37.238250000000015</x:v>
      </x:c>
      <x:c r="U41" s="23" t="n">
        <x:f>MAX(0,U40*U39)</x:f>
        <x:v>39.87952499999997</x:v>
      </x:c>
      <x:c r="V41" s="23" t="n">
        <x:f>MAX(0,V40*V39)</x:f>
        <x:v>37.238250000000015</x:v>
      </x:c>
      <x:c r="W41" s="23" t="n">
        <x:f>MAX(0,W40*W39)</x:f>
        <x:v>394.38390000000015</x:v>
      </x:c>
      <x:c r="X41" s="23" t="n">
        <x:f>MAX(0,X40*X39)</x:f>
        <x:v>708.865725</x:v>
      </x:c>
      <x:c r="Y41" s="23" t="n">
        <x:f>MAX(0,Y40*Y39)</x:f>
        <x:v>660.4227749999999</x:v>
      </x:c>
      <x:c r="Z41" s="23" t="n">
        <x:f>MAX(0,Z40*Z39)</x:f>
        <x:v>118.59937500000001</x:v>
      </x:c>
      <x:c r="AA41" s="23" t="n">
        <x:f>MAX(0,AA40*AA39)</x:f>
        <x:v>37.238250000000015</x:v>
      </x:c>
      <x:c r="AB41" s="23" t="n">
        <x:f>MAX(0,AB40*AB39)</x:f>
        <x:v>39.87952499999997</x:v>
      </x:c>
      <x:c r="AC41" s="23" t="n">
        <x:f>MAX(0,AC40*AC39)</x:f>
        <x:v>37.238250000000015</x:v>
      </x:c>
      <x:c r="AD41" s="23" t="n">
        <x:f>MAX(0,AD40*AD39)</x:f>
        <x:v>394.38390000000015</x:v>
      </x:c>
      <x:c r="AE41" s="23" t="n">
        <x:f>MAX(0,AE40*AE39)</x:f>
        <x:v>394.38390000000015</x:v>
      </x:c>
      <x:c r="AF41" s="23" t="n">
        <x:f>MAX(0,AF40*AF39)</x:f>
        <x:v>37.238250000000015</x:v>
      </x:c>
      <x:c r="AG41" s="23" t="n">
        <x:f>MAX(0,AG40*AG39)</x:f>
        <x:v>39.87952499999997</x:v>
      </x:c>
      <x:c r="AH41" s="23" t="n">
        <x:f>MAX(0,AH40*AH39)</x:f>
        <x:v>37.238250000000015</x:v>
      </x:c>
      <x:c r="AI41" s="23" t="n">
        <x:f>MAX(0,AI40*AI39)</x:f>
        <x:v>394.38390000000015</x:v>
      </x:c>
      <x:c r="AJ41" s="23" t="n">
        <x:f>MAX(0,AJ40*AJ39)</x:f>
        <x:v>708.865725</x:v>
      </x:c>
      <x:c r="AK41" s="23" t="n">
        <x:f>MAX(0,AK40*AK39)</x:f>
        <x:v>636.2012999999998</x:v>
      </x:c>
      <x:c r="AL41" s="23" t="n">
        <x:f>MAX(0,AL40*AL39)</x:f>
        <x:v>118.59937500000001</x:v>
      </x:c>
      <x:c r="AM41" s="23" t="n">
        <x:f>MAX(0,AM40*AM39)</x:f>
        <x:v>37.238250000000015</x:v>
      </x:c>
      <x:c r="AN41" s="23" t="n">
        <x:f>MAX(0,AN40*AN39)</x:f>
        <x:v>39.87952499999997</x:v>
      </x:c>
      <x:c r="AO41" s="23" t="n">
        <x:f>MAX(0,AO40*AO39)</x:f>
        <x:v>37.238250000000015</x:v>
      </x:c>
      <x:c r="AP41" s="23" t="n">
        <x:f>MAX(0,AP40*AP39)</x:f>
        <x:v>394.38390000000015</x:v>
      </x:c>
      <x:c r="AQ41" s="23" t="n">
        <x:f>MAX(0,AQ40*AQ39)</x:f>
        <x:v>394.38390000000015</x:v>
      </x:c>
      <x:c r="AR41" s="23" t="n">
        <x:f>MAX(0,AR40*AR39)</x:f>
        <x:v>37.238250000000015</x:v>
      </x:c>
      <x:c r="AS41" s="23" t="n">
        <x:f>MAX(0,AS40*AS39)</x:f>
        <x:v>39.87952499999997</x:v>
      </x:c>
      <x:c r="AT41" s="23" t="n">
        <x:f>MAX(0,AT40*AT39)</x:f>
        <x:v>37.238250000000015</x:v>
      </x:c>
      <x:c r="AU41" s="23" t="n">
        <x:f>MAX(0,AU40*AU39)</x:f>
        <x:v>394.38390000000015</x:v>
      </x:c>
      <x:c r="AV41" s="23" t="n">
        <x:f>MAX(0,AV40*AV39)</x:f>
        <x:v>708.865725</x:v>
      </x:c>
      <x:c r="AW41" s="23" t="n">
        <x:f>MAX(0,AW40*AW39)</x:f>
        <x:v>636.2012999999998</x:v>
      </x:c>
      <x:c r="AX41" s="23" t="n">
        <x:f>MAX(0,AX40*AX39)</x:f>
        <x:v>118.59937500000001</x:v>
      </x:c>
      <x:c r="AY41" s="23" t="n">
        <x:f>MAX(0,AY40*AY39)</x:f>
        <x:v>37.238250000000015</x:v>
      </x:c>
      <x:c r="AZ41" s="23" t="n">
        <x:f>MAX(0,AZ40*AZ39)</x:f>
        <x:v>39.87952499999997</x:v>
      </x:c>
      <x:c r="BA41" s="23" t="n">
        <x:f>MAX(0,BA40*BA39)</x:f>
        <x:v>37.238250000000015</x:v>
      </x:c>
      <x:c r="BB41" s="23" t="n">
        <x:f>MAX(0,BB40*BB39)</x:f>
        <x:v>394.38390000000015</x:v>
      </x:c>
      <x:c r="BC41" s="23" t="n">
        <x:f>MAX(0,BC40*BC39)</x:f>
        <x:v>394.38390000000015</x:v>
      </x:c>
      <x:c r="BD41" s="23" t="n">
        <x:f>MAX(0,BD40*BD39)</x:f>
        <x:v>37.238250000000015</x:v>
      </x:c>
      <x:c r="BE41" s="23" t="n">
        <x:f>MAX(0,BE40*BE39)</x:f>
        <x:v>39.87952499999997</x:v>
      </x:c>
      <x:c r="BF41" s="23" t="n">
        <x:f>MAX(0,BF40*BF39)</x:f>
        <x:v>37.238250000000015</x:v>
      </x:c>
      <x:c r="BG41" s="23" t="n">
        <x:f>MAX(0,BG40*BG39)</x:f>
        <x:v>394.38390000000015</x:v>
      </x:c>
      <x:c r="BH41" s="23" t="n">
        <x:f>MAX(0,BH40*BH39)</x:f>
        <x:v>708.865725</x:v>
      </x:c>
      <x:c r="BI41" s="23" t="n">
        <x:f>MAX(0,BI40*BI39)</x:f>
        <x:v>636.2012999999998</x:v>
      </x:c>
      <x:c r="BJ41" s="23" t="n">
        <x:f>MAX(0,BJ40*BJ39)</x:f>
        <x:v>118.59937500000001</x:v>
      </x:c>
    </x:row>
    <x:row r="42">
      <x:c r="A42" s="13" t="str">
        <x:v>MCコスト</x:v>
      </x:c>
      <x:c r="B42" s="13" t="str">
        <x:v>MCコスト合計</x:v>
      </x:c>
      <x:c r="C42" s="23" t="n">
        <x:f>SUM(C38,C41)</x:f>
        <x:v>187.23825000000002</x:v>
      </x:c>
      <x:c r="D42" s="23" t="n">
        <x:f>SUM(D38,D41)</x:f>
        <x:v>189.87952499999997</x:v>
      </x:c>
      <x:c r="E42" s="23" t="n">
        <x:f>SUM(E38,E41)</x:f>
        <x:v>187.23825000000002</x:v>
      </x:c>
      <x:c r="F42" s="23" t="n">
        <x:f>SUM(F38,F41)</x:f>
        <x:v>544.3839000000002</x:v>
      </x:c>
      <x:c r="G42" s="23" t="n">
        <x:f>SUM(G38,G41)</x:f>
        <x:v>544.3839000000002</x:v>
      </x:c>
      <x:c r="H42" s="23" t="n">
        <x:f>SUM(H38,H41)</x:f>
        <x:v>187.23825000000002</x:v>
      </x:c>
      <x:c r="I42" s="23" t="n">
        <x:f>SUM(I38,I41)</x:f>
        <x:v>189.87952499999997</x:v>
      </x:c>
      <x:c r="J42" s="23" t="n">
        <x:f>SUM(J38,J41)</x:f>
        <x:v>187.23825000000002</x:v>
      </x:c>
      <x:c r="K42" s="23" t="n">
        <x:f>SUM(K38,K41)</x:f>
        <x:v>544.3839000000002</x:v>
      </x:c>
      <x:c r="L42" s="23" t="n">
        <x:f>SUM(L38,L41)</x:f>
        <x:v>858.865725</x:v>
      </x:c>
      <x:c r="M42" s="23" t="n">
        <x:f>SUM(M38,M41)</x:f>
        <x:v>786.2012999999998</x:v>
      </x:c>
      <x:c r="N42" s="23" t="n">
        <x:f>SUM(N38,N41)</x:f>
        <x:v>268.599375</x:v>
      </x:c>
      <x:c r="O42" s="23" t="n">
        <x:f>SUM(O38,O41)</x:f>
        <x:v>187.23825000000002</x:v>
      </x:c>
      <x:c r="P42" s="23" t="n">
        <x:f>SUM(P38,P41)</x:f>
        <x:v>189.87952499999997</x:v>
      </x:c>
      <x:c r="Q42" s="23" t="n">
        <x:f>SUM(Q38,Q41)</x:f>
        <x:v>187.23825000000002</x:v>
      </x:c>
      <x:c r="R42" s="23" t="n">
        <x:f>SUM(R38,R41)</x:f>
        <x:v>544.3839000000002</x:v>
      </x:c>
      <x:c r="S42" s="23" t="n">
        <x:f>SUM(S38,S41)</x:f>
        <x:v>544.3839000000002</x:v>
      </x:c>
      <x:c r="T42" s="23" t="n">
        <x:f>SUM(T38,T41)</x:f>
        <x:v>187.23825000000002</x:v>
      </x:c>
      <x:c r="U42" s="23" t="n">
        <x:f>SUM(U38,U41)</x:f>
        <x:v>189.87952499999997</x:v>
      </x:c>
      <x:c r="V42" s="23" t="n">
        <x:f>SUM(V38,V41)</x:f>
        <x:v>187.23825000000002</x:v>
      </x:c>
      <x:c r="W42" s="23" t="n">
        <x:f>SUM(W38,W41)</x:f>
        <x:v>544.3839000000002</x:v>
      </x:c>
      <x:c r="X42" s="23" t="n">
        <x:f>SUM(X38,X41)</x:f>
        <x:v>858.865725</x:v>
      </x:c>
      <x:c r="Y42" s="23" t="n">
        <x:f>SUM(Y38,Y41)</x:f>
        <x:v>810.4227749999999</x:v>
      </x:c>
      <x:c r="Z42" s="23" t="n">
        <x:f>SUM(Z38,Z41)</x:f>
        <x:v>268.599375</x:v>
      </x:c>
      <x:c r="AA42" s="23" t="n">
        <x:f>SUM(AA38,AA41)</x:f>
        <x:v>187.23825000000002</x:v>
      </x:c>
      <x:c r="AB42" s="23" t="n">
        <x:f>SUM(AB38,AB41)</x:f>
        <x:v>189.87952499999997</x:v>
      </x:c>
      <x:c r="AC42" s="23" t="n">
        <x:f>SUM(AC38,AC41)</x:f>
        <x:v>187.23825000000002</x:v>
      </x:c>
      <x:c r="AD42" s="23" t="n">
        <x:f>SUM(AD38,AD41)</x:f>
        <x:v>544.3839000000002</x:v>
      </x:c>
      <x:c r="AE42" s="23" t="n">
        <x:f>SUM(AE38,AE41)</x:f>
        <x:v>544.3839000000002</x:v>
      </x:c>
      <x:c r="AF42" s="23" t="n">
        <x:f>SUM(AF38,AF41)</x:f>
        <x:v>187.23825000000002</x:v>
      </x:c>
      <x:c r="AG42" s="23" t="n">
        <x:f>SUM(AG38,AG41)</x:f>
        <x:v>189.87952499999997</x:v>
      </x:c>
      <x:c r="AH42" s="23" t="n">
        <x:f>SUM(AH38,AH41)</x:f>
        <x:v>187.23825000000002</x:v>
      </x:c>
      <x:c r="AI42" s="23" t="n">
        <x:f>SUM(AI38,AI41)</x:f>
        <x:v>544.3839000000002</x:v>
      </x:c>
      <x:c r="AJ42" s="23" t="n">
        <x:f>SUM(AJ38,AJ41)</x:f>
        <x:v>858.865725</x:v>
      </x:c>
      <x:c r="AK42" s="23" t="n">
        <x:f>SUM(AK38,AK41)</x:f>
        <x:v>786.2012999999998</x:v>
      </x:c>
      <x:c r="AL42" s="23" t="n">
        <x:f>SUM(AL38,AL41)</x:f>
        <x:v>268.599375</x:v>
      </x:c>
      <x:c r="AM42" s="23" t="n">
        <x:f>SUM(AM38,AM41)</x:f>
        <x:v>187.23825000000002</x:v>
      </x:c>
      <x:c r="AN42" s="23" t="n">
        <x:f>SUM(AN38,AN41)</x:f>
        <x:v>189.87952499999997</x:v>
      </x:c>
      <x:c r="AO42" s="23" t="n">
        <x:f>SUM(AO38,AO41)</x:f>
        <x:v>187.23825000000002</x:v>
      </x:c>
      <x:c r="AP42" s="23" t="n">
        <x:f>SUM(AP38,AP41)</x:f>
        <x:v>544.3839000000002</x:v>
      </x:c>
      <x:c r="AQ42" s="23" t="n">
        <x:f>SUM(AQ38,AQ41)</x:f>
        <x:v>544.3839000000002</x:v>
      </x:c>
      <x:c r="AR42" s="23" t="n">
        <x:f>SUM(AR38,AR41)</x:f>
        <x:v>187.23825000000002</x:v>
      </x:c>
      <x:c r="AS42" s="23" t="n">
        <x:f>SUM(AS38,AS41)</x:f>
        <x:v>189.87952499999997</x:v>
      </x:c>
      <x:c r="AT42" s="23" t="n">
        <x:f>SUM(AT38,AT41)</x:f>
        <x:v>187.23825000000002</x:v>
      </x:c>
      <x:c r="AU42" s="23" t="n">
        <x:f>SUM(AU38,AU41)</x:f>
        <x:v>544.3839000000002</x:v>
      </x:c>
      <x:c r="AV42" s="23" t="n">
        <x:f>SUM(AV38,AV41)</x:f>
        <x:v>858.865725</x:v>
      </x:c>
      <x:c r="AW42" s="23" t="n">
        <x:f>SUM(AW38,AW41)</x:f>
        <x:v>786.2012999999998</x:v>
      </x:c>
      <x:c r="AX42" s="23" t="n">
        <x:f>SUM(AX38,AX41)</x:f>
        <x:v>268.599375</x:v>
      </x:c>
      <x:c r="AY42" s="23" t="n">
        <x:f>SUM(AY38,AY41)</x:f>
        <x:v>187.23825000000002</x:v>
      </x:c>
      <x:c r="AZ42" s="23" t="n">
        <x:f>SUM(AZ38,AZ41)</x:f>
        <x:v>189.87952499999997</x:v>
      </x:c>
      <x:c r="BA42" s="23" t="n">
        <x:f>SUM(BA38,BA41)</x:f>
        <x:v>187.23825000000002</x:v>
      </x:c>
      <x:c r="BB42" s="23" t="n">
        <x:f>SUM(BB38,BB41)</x:f>
        <x:v>544.3839000000002</x:v>
      </x:c>
      <x:c r="BC42" s="23" t="n">
        <x:f>SUM(BC38,BC41)</x:f>
        <x:v>544.3839000000002</x:v>
      </x:c>
      <x:c r="BD42" s="23" t="n">
        <x:f>SUM(BD38,BD41)</x:f>
        <x:v>187.23825000000002</x:v>
      </x:c>
      <x:c r="BE42" s="23" t="n">
        <x:f>SUM(BE38,BE41)</x:f>
        <x:v>189.87952499999997</x:v>
      </x:c>
      <x:c r="BF42" s="23" t="n">
        <x:f>SUM(BF38,BF41)</x:f>
        <x:v>187.23825000000002</x:v>
      </x:c>
      <x:c r="BG42" s="23" t="n">
        <x:f>SUM(BG38,BG41)</x:f>
        <x:v>544.3839000000002</x:v>
      </x:c>
      <x:c r="BH42" s="23" t="n">
        <x:f>SUM(BH38,BH41)</x:f>
        <x:v>858.865725</x:v>
      </x:c>
      <x:c r="BI42" s="23" t="n">
        <x:f>SUM(BI38,BI41)</x:f>
        <x:v>786.2012999999998</x:v>
      </x:c>
      <x:c r="BJ42" s="23" t="n">
        <x:f>SUM(BJ38,BJ41)</x:f>
        <x:v>268.599375</x:v>
      </x:c>
    </x:row>
    <x:row r="43">
      <x:c r="A43" s="13" t="str">
        <x:v>PL追加入力</x:v>
      </x:c>
      <x:c r="B43" s="13" t="str">
        <x:v>減価償却費</x:v>
      </x:c>
      <x:c r="C43" s="22" t="n">
        <x:v>500</x:v>
      </x:c>
      <x:c r="D43" s="22" t="n">
        <x:v>500</x:v>
      </x:c>
      <x:c r="E43" s="22" t="n">
        <x:v>500</x:v>
      </x:c>
      <x:c r="F43" s="22" t="n">
        <x:v>500</x:v>
      </x:c>
      <x:c r="G43" s="22" t="n">
        <x:v>500</x:v>
      </x:c>
      <x:c r="H43" s="22" t="n">
        <x:v>500</x:v>
      </x:c>
      <x:c r="I43" s="22" t="n">
        <x:v>500</x:v>
      </x:c>
      <x:c r="J43" s="22" t="n">
        <x:v>500</x:v>
      </x:c>
      <x:c r="K43" s="22" t="n">
        <x:v>500</x:v>
      </x:c>
      <x:c r="L43" s="22" t="n">
        <x:v>500</x:v>
      </x:c>
      <x:c r="M43" s="22" t="n">
        <x:v>500</x:v>
      </x:c>
      <x:c r="N43" s="22" t="n">
        <x:v>500</x:v>
      </x:c>
      <x:c r="O43" s="22" t="n">
        <x:v>500</x:v>
      </x:c>
      <x:c r="P43" s="22" t="n">
        <x:v>500</x:v>
      </x:c>
      <x:c r="Q43" s="22" t="n">
        <x:v>500</x:v>
      </x:c>
      <x:c r="R43" s="22" t="n">
        <x:v>500</x:v>
      </x:c>
      <x:c r="S43" s="22" t="n">
        <x:v>500</x:v>
      </x:c>
      <x:c r="T43" s="22" t="n">
        <x:v>500</x:v>
      </x:c>
      <x:c r="U43" s="22" t="n">
        <x:v>500</x:v>
      </x:c>
      <x:c r="V43" s="22" t="n">
        <x:v>500</x:v>
      </x:c>
      <x:c r="W43" s="22" t="n">
        <x:v>500</x:v>
      </x:c>
      <x:c r="X43" s="22" t="n">
        <x:v>500</x:v>
      </x:c>
      <x:c r="Y43" s="22" t="n">
        <x:v>500</x:v>
      </x:c>
      <x:c r="Z43" s="22" t="n">
        <x:v>500</x:v>
      </x:c>
      <x:c r="AA43" s="22" t="n">
        <x:v>500</x:v>
      </x:c>
      <x:c r="AB43" s="22" t="n">
        <x:v>500</x:v>
      </x:c>
      <x:c r="AC43" s="22" t="n">
        <x:v>500</x:v>
      </x:c>
      <x:c r="AD43" s="22" t="n">
        <x:v>500</x:v>
      </x:c>
      <x:c r="AE43" s="22" t="n">
        <x:v>500</x:v>
      </x:c>
      <x:c r="AF43" s="22" t="n">
        <x:v>500</x:v>
      </x:c>
      <x:c r="AG43" s="22" t="n">
        <x:v>500</x:v>
      </x:c>
      <x:c r="AH43" s="22" t="n">
        <x:v>500</x:v>
      </x:c>
      <x:c r="AI43" s="22" t="n">
        <x:v>500</x:v>
      </x:c>
      <x:c r="AJ43" s="22" t="n">
        <x:v>500</x:v>
      </x:c>
      <x:c r="AK43" s="22" t="n">
        <x:v>500</x:v>
      </x:c>
      <x:c r="AL43" s="22" t="n">
        <x:v>500</x:v>
      </x:c>
      <x:c r="AM43" s="22" t="n">
        <x:v>500</x:v>
      </x:c>
      <x:c r="AN43" s="22" t="n">
        <x:v>500</x:v>
      </x:c>
      <x:c r="AO43" s="22" t="n">
        <x:v>500</x:v>
      </x:c>
      <x:c r="AP43" s="22" t="n">
        <x:v>500</x:v>
      </x:c>
      <x:c r="AQ43" s="22" t="n">
        <x:v>500</x:v>
      </x:c>
      <x:c r="AR43" s="22" t="n">
        <x:v>500</x:v>
      </x:c>
      <x:c r="AS43" s="22" t="n">
        <x:v>500</x:v>
      </x:c>
      <x:c r="AT43" s="22" t="n">
        <x:v>500</x:v>
      </x:c>
      <x:c r="AU43" s="22" t="n">
        <x:v>500</x:v>
      </x:c>
      <x:c r="AV43" s="22" t="n">
        <x:v>500</x:v>
      </x:c>
      <x:c r="AW43" s="22" t="n">
        <x:v>500</x:v>
      </x:c>
      <x:c r="AX43" s="22" t="n">
        <x:v>500</x:v>
      </x:c>
      <x:c r="AY43" s="22" t="n">
        <x:v>500</x:v>
      </x:c>
      <x:c r="AZ43" s="22" t="n">
        <x:v>500</x:v>
      </x:c>
      <x:c r="BA43" s="22" t="n">
        <x:v>500</x:v>
      </x:c>
      <x:c r="BB43" s="22" t="n">
        <x:v>500</x:v>
      </x:c>
      <x:c r="BC43" s="22" t="n">
        <x:v>500</x:v>
      </x:c>
      <x:c r="BD43" s="22" t="n">
        <x:v>500</x:v>
      </x:c>
      <x:c r="BE43" s="22" t="n">
        <x:v>500</x:v>
      </x:c>
      <x:c r="BF43" s="22" t="n">
        <x:v>500</x:v>
      </x:c>
      <x:c r="BG43" s="22" t="n">
        <x:v>500</x:v>
      </x:c>
      <x:c r="BH43" s="22" t="n">
        <x:v>500</x:v>
      </x:c>
      <x:c r="BI43" s="22" t="n">
        <x:v>500</x:v>
      </x:c>
      <x:c r="BJ43" s="22" t="n">
        <x:v>500</x:v>
      </x:c>
    </x:row>
    <x:row r="44">
      <x:c r="A44" s="13" t="str">
        <x:v>PL追加入力</x:v>
      </x:c>
      <x:c r="B44" s="13" t="str">
        <x:v>営業外収益</x:v>
      </x:c>
      <x:c r="C44" s="22" t="n">
        <x:v>0</x:v>
      </x:c>
      <x:c r="D44" s="22" t="n">
        <x:v>0</x:v>
      </x:c>
      <x:c r="E44" s="22" t="n">
        <x:v>0</x:v>
      </x:c>
      <x:c r="F44" s="22" t="n">
        <x:v>0</x:v>
      </x:c>
      <x:c r="G44" s="22" t="n">
        <x:v>0</x:v>
      </x:c>
      <x:c r="H44" s="22" t="n">
        <x:v>0</x:v>
      </x:c>
      <x:c r="I44" s="22" t="n">
        <x:v>0</x:v>
      </x:c>
      <x:c r="J44" s="22" t="n">
        <x:v>0</x:v>
      </x:c>
      <x:c r="K44" s="22" t="n">
        <x:v>0</x:v>
      </x:c>
      <x:c r="L44" s="22" t="n">
        <x:v>0</x:v>
      </x:c>
      <x:c r="M44" s="22" t="n">
        <x:v>0</x:v>
      </x:c>
      <x:c r="N44" s="22" t="n">
        <x:v>0</x:v>
      </x:c>
      <x:c r="O44" s="22" t="n">
        <x:v>0</x:v>
      </x:c>
      <x:c r="P44" s="22" t="n">
        <x:v>0</x:v>
      </x:c>
      <x:c r="Q44" s="22" t="n">
        <x:v>0</x:v>
      </x:c>
      <x:c r="R44" s="22" t="n">
        <x:v>0</x:v>
      </x:c>
      <x:c r="S44" s="22" t="n">
        <x:v>0</x:v>
      </x:c>
      <x:c r="T44" s="22" t="n">
        <x:v>0</x:v>
      </x:c>
      <x:c r="U44" s="22" t="n">
        <x:v>0</x:v>
      </x:c>
      <x:c r="V44" s="22" t="n">
        <x:v>0</x:v>
      </x:c>
      <x:c r="W44" s="22" t="n">
        <x:v>0</x:v>
      </x:c>
      <x:c r="X44" s="22" t="n">
        <x:v>0</x:v>
      </x:c>
      <x:c r="Y44" s="22" t="n">
        <x:v>0</x:v>
      </x:c>
      <x:c r="Z44" s="22" t="n">
        <x:v>0</x:v>
      </x:c>
      <x:c r="AA44" s="22" t="n">
        <x:v>0</x:v>
      </x:c>
      <x:c r="AB44" s="22" t="n">
        <x:v>0</x:v>
      </x:c>
      <x:c r="AC44" s="22" t="n">
        <x:v>0</x:v>
      </x:c>
      <x:c r="AD44" s="22" t="n">
        <x:v>0</x:v>
      </x:c>
      <x:c r="AE44" s="22" t="n">
        <x:v>0</x:v>
      </x:c>
      <x:c r="AF44" s="22" t="n">
        <x:v>0</x:v>
      </x:c>
      <x:c r="AG44" s="22" t="n">
        <x:v>0</x:v>
      </x:c>
      <x:c r="AH44" s="22" t="n">
        <x:v>0</x:v>
      </x:c>
      <x:c r="AI44" s="22" t="n">
        <x:v>0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</x:row>
    <x:row r="45">
      <x:c r="A45" s="13" t="str">
        <x:v>PL追加入力</x:v>
      </x:c>
      <x:c r="B45" s="13" t="str">
        <x:v>その他営業外費用</x:v>
      </x:c>
      <x:c r="C45" s="22" t="n">
        <x:v>0</x:v>
      </x:c>
      <x:c r="D45" s="22" t="n">
        <x:v>0</x:v>
      </x:c>
      <x:c r="E45" s="22" t="n">
        <x:v>0</x:v>
      </x:c>
      <x:c r="F45" s="22" t="n">
        <x:v>0</x:v>
      </x:c>
      <x:c r="G45" s="22" t="n">
        <x:v>0</x:v>
      </x:c>
      <x:c r="H45" s="22" t="n">
        <x:v>0</x:v>
      </x:c>
      <x:c r="I45" s="22" t="n">
        <x:v>0</x:v>
      </x:c>
      <x:c r="J45" s="22" t="n">
        <x:v>0</x:v>
      </x:c>
      <x:c r="K45" s="22" t="n">
        <x:v>0</x:v>
      </x:c>
      <x:c r="L45" s="22" t="n">
        <x:v>0</x:v>
      </x:c>
      <x:c r="M45" s="22" t="n">
        <x:v>0</x:v>
      </x:c>
      <x:c r="N45" s="22" t="n">
        <x:v>0</x:v>
      </x:c>
      <x:c r="O45" s="22" t="n">
        <x:v>0</x:v>
      </x:c>
      <x:c r="P45" s="22" t="n">
        <x:v>0</x:v>
      </x:c>
      <x:c r="Q45" s="22" t="n">
        <x:v>0</x:v>
      </x:c>
      <x:c r="R45" s="22" t="n">
        <x:v>0</x:v>
      </x:c>
      <x:c r="S45" s="22" t="n">
        <x:v>0</x:v>
      </x:c>
      <x:c r="T45" s="22" t="n">
        <x:v>0</x:v>
      </x:c>
      <x:c r="U45" s="22" t="n">
        <x:v>0</x:v>
      </x:c>
      <x:c r="V45" s="22" t="n">
        <x:v>0</x:v>
      </x:c>
      <x:c r="W45" s="22" t="n">
        <x:v>0</x:v>
      </x:c>
      <x:c r="X45" s="22" t="n">
        <x:v>0</x:v>
      </x:c>
      <x:c r="Y45" s="22" t="n">
        <x:v>0</x:v>
      </x:c>
      <x:c r="Z45" s="22" t="n">
        <x:v>0</x:v>
      </x:c>
      <x:c r="AA45" s="22" t="n">
        <x:v>0</x:v>
      </x:c>
      <x:c r="AB45" s="22" t="n">
        <x:v>0</x:v>
      </x:c>
      <x:c r="AC45" s="22" t="n">
        <x:v>0</x:v>
      </x:c>
      <x:c r="AD45" s="22" t="n">
        <x:v>0</x:v>
      </x:c>
      <x:c r="AE45" s="22" t="n">
        <x:v>0</x:v>
      </x:c>
      <x:c r="AF45" s="22" t="n">
        <x:v>0</x:v>
      </x:c>
      <x:c r="AG45" s="22" t="n">
        <x:v>0</x:v>
      </x:c>
      <x:c r="AH45" s="22" t="n">
        <x:v>0</x:v>
      </x:c>
      <x:c r="AI45" s="22" t="n">
        <x:v>0</x:v>
      </x:c>
      <x:c r="AJ45" s="22" t="n">
        <x:v>0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</x:v>
      </x:c>
      <x:c r="AS45" s="22" t="n">
        <x:v>0</x:v>
      </x:c>
      <x:c r="AT45" s="22" t="n">
        <x:v>0</x:v>
      </x:c>
      <x:c r="AU45" s="22" t="n">
        <x:v>0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</x:row>
    <x:row r="46">
      <x:c r="A46" s="13" t="str">
        <x:v>PL追加入力</x:v>
      </x:c>
      <x:c r="B46" s="13" t="str">
        <x:v>法人税等</x:v>
      </x:c>
      <x:c r="C46" s="22" t="n">
        <x:f>MAX(0,('06_PL'!C25)*0.30)</x:f>
        <x:v>74.47650000000003</x:v>
      </x:c>
      <x:c r="D46" s="22" t="n">
        <x:f>MAX(0,('06_PL'!D25)*0.30)</x:f>
        <x:v>79.75904999999995</x:v>
      </x:c>
      <x:c r="E46" s="22" t="n">
        <x:f>MAX(0,('06_PL'!E25)*0.30)</x:f>
        <x:v>74.47650000000003</x:v>
      </x:c>
      <x:c r="F46" s="22" t="n">
        <x:f>MAX(0,('06_PL'!F25)*0.30)</x:f>
        <x:v>788.7678000000003</x:v>
      </x:c>
      <x:c r="G46" s="22" t="n">
        <x:f>MAX(0,('06_PL'!G25)*0.30)</x:f>
        <x:v>788.7678000000003</x:v>
      </x:c>
      <x:c r="H46" s="22" t="n">
        <x:f>MAX(0,('06_PL'!H25)*0.30)</x:f>
        <x:v>74.47650000000003</x:v>
      </x:c>
      <x:c r="I46" s="22" t="n">
        <x:f>MAX(0,('06_PL'!I25)*0.30)</x:f>
        <x:v>79.75904999999995</x:v>
      </x:c>
      <x:c r="J46" s="22" t="n">
        <x:f>MAX(0,('06_PL'!J25)*0.30)</x:f>
        <x:v>74.47650000000003</x:v>
      </x:c>
      <x:c r="K46" s="22" t="n">
        <x:f>MAX(0,('06_PL'!K25)*0.30)</x:f>
        <x:v>788.7678000000003</x:v>
      </x:c>
      <x:c r="L46" s="22" t="n">
        <x:f>MAX(0,('06_PL'!L25)*0.30)</x:f>
        <x:v>1417.73145</x:v>
      </x:c>
      <x:c r="M46" s="22" t="n">
        <x:f>MAX(0,('06_PL'!M25)*0.30)</x:f>
        <x:v>1272.4025999999997</x:v>
      </x:c>
      <x:c r="N46" s="22" t="n">
        <x:f>MAX(0,('06_PL'!N25)*0.30)</x:f>
        <x:v>237.19875000000002</x:v>
      </x:c>
      <x:c r="O46" s="22" t="n">
        <x:f>MAX(0,('06_PL'!O25)*0.30)</x:f>
        <x:v>74.47650000000003</x:v>
      </x:c>
      <x:c r="P46" s="22" t="n">
        <x:f>MAX(0,('06_PL'!P25)*0.30)</x:f>
        <x:v>79.75904999999995</x:v>
      </x:c>
      <x:c r="Q46" s="22" t="n">
        <x:f>MAX(0,('06_PL'!Q25)*0.30)</x:f>
        <x:v>74.47650000000003</x:v>
      </x:c>
      <x:c r="R46" s="22" t="n">
        <x:f>MAX(0,('06_PL'!R25)*0.30)</x:f>
        <x:v>788.7678000000003</x:v>
      </x:c>
      <x:c r="S46" s="22" t="n">
        <x:f>MAX(0,('06_PL'!S25)*0.30)</x:f>
        <x:v>788.7678000000003</x:v>
      </x:c>
      <x:c r="T46" s="22" t="n">
        <x:f>MAX(0,('06_PL'!T25)*0.30)</x:f>
        <x:v>74.47650000000003</x:v>
      </x:c>
      <x:c r="U46" s="22" t="n">
        <x:f>MAX(0,('06_PL'!U25)*0.30)</x:f>
        <x:v>79.75904999999995</x:v>
      </x:c>
      <x:c r="V46" s="22" t="n">
        <x:f>MAX(0,('06_PL'!V25)*0.30)</x:f>
        <x:v>74.47650000000003</x:v>
      </x:c>
      <x:c r="W46" s="22" t="n">
        <x:f>MAX(0,('06_PL'!W25)*0.30)</x:f>
        <x:v>788.7678000000003</x:v>
      </x:c>
      <x:c r="X46" s="22" t="n">
        <x:f>MAX(0,('06_PL'!X25)*0.30)</x:f>
        <x:v>1417.73145</x:v>
      </x:c>
      <x:c r="Y46" s="22" t="n">
        <x:f>MAX(0,('06_PL'!Y25)*0.30)</x:f>
        <x:v>1320.8455499999998</x:v>
      </x:c>
      <x:c r="Z46" s="22" t="n">
        <x:f>MAX(0,('06_PL'!Z25)*0.30)</x:f>
        <x:v>237.19875000000002</x:v>
      </x:c>
      <x:c r="AA46" s="22" t="n">
        <x:f>MAX(0,('06_PL'!AA25)*0.30)</x:f>
        <x:v>74.47650000000003</x:v>
      </x:c>
      <x:c r="AB46" s="22" t="n">
        <x:f>MAX(0,('06_PL'!AB25)*0.30)</x:f>
        <x:v>79.75904999999995</x:v>
      </x:c>
      <x:c r="AC46" s="22" t="n">
        <x:f>MAX(0,('06_PL'!AC25)*0.30)</x:f>
        <x:v>74.47650000000003</x:v>
      </x:c>
      <x:c r="AD46" s="22" t="n">
        <x:f>MAX(0,('06_PL'!AD25)*0.30)</x:f>
        <x:v>788.7678000000003</x:v>
      </x:c>
      <x:c r="AE46" s="22" t="n">
        <x:f>MAX(0,('06_PL'!AE25)*0.30)</x:f>
        <x:v>788.7678000000003</x:v>
      </x:c>
      <x:c r="AF46" s="22" t="n">
        <x:f>MAX(0,('06_PL'!AF25)*0.30)</x:f>
        <x:v>74.47650000000003</x:v>
      </x:c>
      <x:c r="AG46" s="22" t="n">
        <x:f>MAX(0,('06_PL'!AG25)*0.30)</x:f>
        <x:v>79.75904999999995</x:v>
      </x:c>
      <x:c r="AH46" s="22" t="n">
        <x:f>MAX(0,('06_PL'!AH25)*0.30)</x:f>
        <x:v>74.47650000000003</x:v>
      </x:c>
      <x:c r="AI46" s="22" t="n">
        <x:f>MAX(0,('06_PL'!AI25)*0.30)</x:f>
        <x:v>788.7678000000003</x:v>
      </x:c>
      <x:c r="AJ46" s="22" t="n">
        <x:f>MAX(0,('06_PL'!AJ25)*0.30)</x:f>
        <x:v>1417.73145</x:v>
      </x:c>
      <x:c r="AK46" s="22" t="n">
        <x:f>MAX(0,('06_PL'!AK25)*0.30)</x:f>
        <x:v>1272.4025999999997</x:v>
      </x:c>
      <x:c r="AL46" s="22" t="n">
        <x:f>MAX(0,('06_PL'!AL25)*0.30)</x:f>
        <x:v>237.19875000000002</x:v>
      </x:c>
      <x:c r="AM46" s="22" t="n">
        <x:f>MAX(0,('06_PL'!AM25)*0.30)</x:f>
        <x:v>74.47650000000003</x:v>
      </x:c>
      <x:c r="AN46" s="22" t="n">
        <x:f>MAX(0,('06_PL'!AN25)*0.30)</x:f>
        <x:v>79.75904999999995</x:v>
      </x:c>
      <x:c r="AO46" s="22" t="n">
        <x:f>MAX(0,('06_PL'!AO25)*0.30)</x:f>
        <x:v>74.47650000000003</x:v>
      </x:c>
      <x:c r="AP46" s="22" t="n">
        <x:f>MAX(0,('06_PL'!AP25)*0.30)</x:f>
        <x:v>788.7678000000003</x:v>
      </x:c>
      <x:c r="AQ46" s="22" t="n">
        <x:f>MAX(0,('06_PL'!AQ25)*0.30)</x:f>
        <x:v>788.7678000000003</x:v>
      </x:c>
      <x:c r="AR46" s="22" t="n">
        <x:f>MAX(0,('06_PL'!AR25)*0.30)</x:f>
        <x:v>74.47650000000003</x:v>
      </x:c>
      <x:c r="AS46" s="22" t="n">
        <x:f>MAX(0,('06_PL'!AS25)*0.30)</x:f>
        <x:v>79.75904999999995</x:v>
      </x:c>
      <x:c r="AT46" s="22" t="n">
        <x:f>MAX(0,('06_PL'!AT25)*0.30)</x:f>
        <x:v>74.47650000000003</x:v>
      </x:c>
      <x:c r="AU46" s="22" t="n">
        <x:f>MAX(0,('06_PL'!AU25)*0.30)</x:f>
        <x:v>788.7678000000003</x:v>
      </x:c>
      <x:c r="AV46" s="22" t="n">
        <x:f>MAX(0,('06_PL'!AV25)*0.30)</x:f>
        <x:v>1417.73145</x:v>
      </x:c>
      <x:c r="AW46" s="22" t="n">
        <x:f>MAX(0,('06_PL'!AW25)*0.30)</x:f>
        <x:v>1272.4025999999997</x:v>
      </x:c>
      <x:c r="AX46" s="22" t="n">
        <x:f>MAX(0,('06_PL'!AX25)*0.30)</x:f>
        <x:v>237.19875000000002</x:v>
      </x:c>
      <x:c r="AY46" s="22" t="n">
        <x:f>MAX(0,('06_PL'!AY25)*0.30)</x:f>
        <x:v>74.47650000000003</x:v>
      </x:c>
      <x:c r="AZ46" s="22" t="n">
        <x:f>MAX(0,('06_PL'!AZ25)*0.30)</x:f>
        <x:v>79.75904999999995</x:v>
      </x:c>
      <x:c r="BA46" s="22" t="n">
        <x:f>MAX(0,('06_PL'!BA25)*0.30)</x:f>
        <x:v>74.47650000000003</x:v>
      </x:c>
      <x:c r="BB46" s="22" t="n">
        <x:f>MAX(0,('06_PL'!BB25)*0.30)</x:f>
        <x:v>788.7678000000003</x:v>
      </x:c>
      <x:c r="BC46" s="22" t="n">
        <x:f>MAX(0,('06_PL'!BC25)*0.30)</x:f>
        <x:v>788.7678000000003</x:v>
      </x:c>
      <x:c r="BD46" s="22" t="n">
        <x:f>MAX(0,('06_PL'!BD25)*0.30)</x:f>
        <x:v>74.47650000000003</x:v>
      </x:c>
      <x:c r="BE46" s="22" t="n">
        <x:f>MAX(0,('06_PL'!BE25)*0.30)</x:f>
        <x:v>79.75904999999995</x:v>
      </x:c>
      <x:c r="BF46" s="22" t="n">
        <x:f>MAX(0,('06_PL'!BF25)*0.30)</x:f>
        <x:v>74.47650000000003</x:v>
      </x:c>
      <x:c r="BG46" s="22" t="n">
        <x:f>MAX(0,('06_PL'!BG25)*0.30)</x:f>
        <x:v>788.7678000000003</x:v>
      </x:c>
      <x:c r="BH46" s="22" t="n">
        <x:f>MAX(0,('06_PL'!BH25)*0.30)</x:f>
        <x:v>1417.73145</x:v>
      </x:c>
      <x:c r="BI46" s="22" t="n">
        <x:f>MAX(0,('06_PL'!BI25)*0.30)</x:f>
        <x:v>1272.4025999999997</x:v>
      </x:c>
      <x:c r="BJ46" s="22" t="n">
        <x:f>MAX(0,('06_PL'!BJ25)*0.30)</x:f>
        <x:v>237.19875000000002</x:v>
      </x:c>
    </x:row>
    <x:row r="47">
      <x:c r="A47" s="13" t="str">
        <x:v>BS実績残高_任意</x:v>
      </x:c>
      <x:c r="B47" s="13" t="str">
        <x:v>現預金</x:v>
      </x:c>
      <x:c r="C47" s="22" t="str"/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str"/>
      <x:c r="AA47" s="22" t="str"/>
      <x:c r="AB47" s="22" t="str"/>
      <x:c r="AC47" s="22" t="str"/>
      <x:c r="AD47" s="22" t="str"/>
      <x:c r="AE47" s="22" t="str"/>
      <x:c r="AF47" s="22" t="str"/>
      <x:c r="AG47" s="22" t="str"/>
      <x:c r="AH47" s="22" t="str"/>
      <x:c r="AI47" s="22" t="str"/>
      <x:c r="AJ47" s="22" t="str"/>
      <x:c r="AK47" s="22" t="str"/>
      <x:c r="AL47" s="22" t="str"/>
      <x:c r="AM47" s="22" t="str"/>
      <x:c r="AN47" s="22" t="str"/>
      <x:c r="AO47" s="22" t="str"/>
      <x:c r="AP47" s="22" t="str"/>
      <x:c r="AQ47" s="22" t="str"/>
      <x:c r="AR47" s="22" t="str"/>
      <x:c r="AS47" s="22" t="str"/>
      <x:c r="AT47" s="22" t="str"/>
      <x:c r="AU47" s="22" t="str"/>
      <x:c r="AV47" s="22" t="str"/>
      <x:c r="AW47" s="22" t="str"/>
      <x:c r="AX47" s="22" t="str"/>
      <x:c r="AY47" s="22" t="str"/>
      <x:c r="AZ47" s="22" t="str"/>
      <x:c r="BA47" s="22" t="str"/>
      <x:c r="BB47" s="22" t="str"/>
      <x:c r="BC47" s="22" t="str"/>
      <x:c r="BD47" s="22" t="str"/>
      <x:c r="BE47" s="22" t="str"/>
      <x:c r="BF47" s="22" t="str"/>
      <x:c r="BG47" s="22" t="str"/>
      <x:c r="BH47" s="22" t="str"/>
      <x:c r="BI47" s="22" t="str"/>
      <x:c r="BJ47" s="22" t="str"/>
    </x:row>
    <x:row r="48">
      <x:c r="A48" s="13" t="str">
        <x:v>BS実績残高_任意</x:v>
      </x:c>
      <x:c r="B48" s="13" t="str">
        <x:v>売掛金</x:v>
      </x:c>
      <x:c r="C48" s="22" t="str"/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str"/>
      <x:c r="AA48" s="22" t="str"/>
      <x:c r="AB48" s="22" t="str"/>
      <x:c r="AC48" s="22" t="str"/>
      <x:c r="AD48" s="22" t="str"/>
      <x:c r="AE48" s="22" t="str"/>
      <x:c r="AF48" s="22" t="str"/>
      <x:c r="AG48" s="22" t="str"/>
      <x:c r="AH48" s="22" t="str"/>
      <x:c r="AI48" s="22" t="str"/>
      <x:c r="AJ48" s="22" t="str"/>
      <x:c r="AK48" s="22" t="str"/>
      <x:c r="AL48" s="22" t="str"/>
      <x:c r="AM48" s="22" t="str"/>
      <x:c r="AN48" s="22" t="str"/>
      <x:c r="AO48" s="22" t="str"/>
      <x:c r="AP48" s="22" t="str"/>
      <x:c r="AQ48" s="22" t="str"/>
      <x:c r="AR48" s="22" t="str"/>
      <x:c r="AS48" s="22" t="str"/>
      <x:c r="AT48" s="22" t="str"/>
      <x:c r="AU48" s="22" t="str"/>
      <x:c r="AV48" s="22" t="str"/>
      <x:c r="AW48" s="22" t="str"/>
      <x:c r="AX48" s="22" t="str"/>
      <x:c r="AY48" s="22" t="str"/>
      <x:c r="AZ48" s="22" t="str"/>
      <x:c r="BA48" s="22" t="str"/>
      <x:c r="BB48" s="22" t="str"/>
      <x:c r="BC48" s="22" t="str"/>
      <x:c r="BD48" s="22" t="str"/>
      <x:c r="BE48" s="22" t="str"/>
      <x:c r="BF48" s="22" t="str"/>
      <x:c r="BG48" s="22" t="str"/>
      <x:c r="BH48" s="22" t="str"/>
      <x:c r="BI48" s="22" t="str"/>
      <x:c r="BJ48" s="22" t="str"/>
    </x:row>
    <x:row r="49">
      <x:c r="A49" s="13" t="str">
        <x:v>BS実績残高_任意</x:v>
      </x:c>
      <x:c r="B49" s="13" t="str">
        <x:v>その他流動資産</x:v>
      </x:c>
      <x:c r="C49" s="22" t="str"/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str"/>
      <x:c r="AA49" s="22" t="str"/>
      <x:c r="AB49" s="22" t="str"/>
      <x:c r="AC49" s="22" t="str"/>
      <x:c r="AD49" s="22" t="str"/>
      <x:c r="AE49" s="22" t="str"/>
      <x:c r="AF49" s="22" t="str"/>
      <x:c r="AG49" s="22" t="str"/>
      <x:c r="AH49" s="22" t="str"/>
      <x:c r="AI49" s="22" t="str"/>
      <x:c r="AJ49" s="22" t="str"/>
      <x:c r="AK49" s="22" t="str"/>
      <x:c r="AL49" s="22" t="str"/>
      <x:c r="AM49" s="22" t="str"/>
      <x:c r="AN49" s="22" t="str"/>
      <x:c r="AO49" s="22" t="str"/>
      <x:c r="AP49" s="22" t="str"/>
      <x:c r="AQ49" s="22" t="str"/>
      <x:c r="AR49" s="22" t="str"/>
      <x:c r="AS49" s="22" t="str"/>
      <x:c r="AT49" s="22" t="str"/>
      <x:c r="AU49" s="22" t="str"/>
      <x:c r="AV49" s="22" t="str"/>
      <x:c r="AW49" s="22" t="str"/>
      <x:c r="AX49" s="22" t="str"/>
      <x:c r="AY49" s="22" t="str"/>
      <x:c r="AZ49" s="22" t="str"/>
      <x:c r="BA49" s="22" t="str"/>
      <x:c r="BB49" s="22" t="str"/>
      <x:c r="BC49" s="22" t="str"/>
      <x:c r="BD49" s="22" t="str"/>
      <x:c r="BE49" s="22" t="str"/>
      <x:c r="BF49" s="22" t="str"/>
      <x:c r="BG49" s="22" t="str"/>
      <x:c r="BH49" s="22" t="str"/>
      <x:c r="BI49" s="22" t="str"/>
      <x:c r="BJ49" s="22" t="str"/>
    </x:row>
    <x:row r="50">
      <x:c r="A50" s="13" t="str">
        <x:v>BS実績残高_任意</x:v>
      </x:c>
      <x:c r="B50" s="13" t="str">
        <x:v>有形固定資産</x:v>
      </x:c>
      <x:c r="C50" s="22" t="str"/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str"/>
      <x:c r="AA50" s="22" t="str"/>
      <x:c r="AB50" s="22" t="str"/>
      <x:c r="AC50" s="22" t="str"/>
      <x:c r="AD50" s="22" t="str"/>
      <x:c r="AE50" s="22" t="str"/>
      <x:c r="AF50" s="22" t="str"/>
      <x:c r="AG50" s="22" t="str"/>
      <x:c r="AH50" s="22" t="str"/>
      <x:c r="AI50" s="22" t="str"/>
      <x:c r="AJ50" s="22" t="str"/>
      <x:c r="AK50" s="22" t="str"/>
      <x:c r="AL50" s="22" t="str"/>
      <x:c r="AM50" s="22" t="str"/>
      <x:c r="AN50" s="22" t="str"/>
      <x:c r="AO50" s="22" t="str"/>
      <x:c r="AP50" s="22" t="str"/>
      <x:c r="AQ50" s="22" t="str"/>
      <x:c r="AR50" s="22" t="str"/>
      <x:c r="AS50" s="22" t="str"/>
      <x:c r="AT50" s="22" t="str"/>
      <x:c r="AU50" s="22" t="str"/>
      <x:c r="AV50" s="22" t="str"/>
      <x:c r="AW50" s="22" t="str"/>
      <x:c r="AX50" s="22" t="str"/>
      <x:c r="AY50" s="22" t="str"/>
      <x:c r="AZ50" s="22" t="str"/>
      <x:c r="BA50" s="22" t="str"/>
      <x:c r="BB50" s="22" t="str"/>
      <x:c r="BC50" s="22" t="str"/>
      <x:c r="BD50" s="22" t="str"/>
      <x:c r="BE50" s="22" t="str"/>
      <x:c r="BF50" s="22" t="str"/>
      <x:c r="BG50" s="22" t="str"/>
      <x:c r="BH50" s="22" t="str"/>
      <x:c r="BI50" s="22" t="str"/>
      <x:c r="BJ50" s="22" t="str"/>
    </x:row>
    <x:row r="51">
      <x:c r="A51" s="13" t="str">
        <x:v>BS実績残高_任意</x:v>
      </x:c>
      <x:c r="B51" s="13" t="str">
        <x:v>買掛金・未払金</x:v>
      </x:c>
      <x:c r="C51" s="22" t="str"/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str"/>
      <x:c r="AA51" s="22" t="str"/>
      <x:c r="AB51" s="22" t="str"/>
      <x:c r="AC51" s="22" t="str"/>
      <x:c r="AD51" s="22" t="str"/>
      <x:c r="AE51" s="22" t="str"/>
      <x:c r="AF51" s="22" t="str"/>
      <x:c r="AG51" s="22" t="str"/>
      <x:c r="AH51" s="22" t="str"/>
      <x:c r="AI51" s="22" t="str"/>
      <x:c r="AJ51" s="22" t="str"/>
      <x:c r="AK51" s="22" t="str"/>
      <x:c r="AL51" s="22" t="str"/>
      <x:c r="AM51" s="22" t="str"/>
      <x:c r="AN51" s="22" t="str"/>
      <x:c r="AO51" s="22" t="str"/>
      <x:c r="AP51" s="22" t="str"/>
      <x:c r="AQ51" s="22" t="str"/>
      <x:c r="AR51" s="22" t="str"/>
      <x:c r="AS51" s="22" t="str"/>
      <x:c r="AT51" s="22" t="str"/>
      <x:c r="AU51" s="22" t="str"/>
      <x:c r="AV51" s="22" t="str"/>
      <x:c r="AW51" s="22" t="str"/>
      <x:c r="AX51" s="22" t="str"/>
      <x:c r="AY51" s="22" t="str"/>
      <x:c r="AZ51" s="22" t="str"/>
      <x:c r="BA51" s="22" t="str"/>
      <x:c r="BB51" s="22" t="str"/>
      <x:c r="BC51" s="22" t="str"/>
      <x:c r="BD51" s="22" t="str"/>
      <x:c r="BE51" s="22" t="str"/>
      <x:c r="BF51" s="22" t="str"/>
      <x:c r="BG51" s="22" t="str"/>
      <x:c r="BH51" s="22" t="str"/>
      <x:c r="BI51" s="22" t="str"/>
      <x:c r="BJ51" s="22" t="str"/>
    </x:row>
    <x:row r="52">
      <x:c r="A52" s="13" t="str">
        <x:v>BS実績残高_任意</x:v>
      </x:c>
      <x:c r="B52" s="13" t="str">
        <x:v>その他負債</x:v>
      </x:c>
      <x:c r="C52" s="22" t="str"/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str"/>
      <x:c r="AA52" s="22" t="str"/>
      <x:c r="AB52" s="22" t="str"/>
      <x:c r="AC52" s="22" t="str"/>
      <x:c r="AD52" s="22" t="str"/>
      <x:c r="AE52" s="22" t="str"/>
      <x:c r="AF52" s="22" t="str"/>
      <x:c r="AG52" s="22" t="str"/>
      <x:c r="AH52" s="22" t="str"/>
      <x:c r="AI52" s="22" t="str"/>
      <x:c r="AJ52" s="22" t="str"/>
      <x:c r="AK52" s="22" t="str"/>
      <x:c r="AL52" s="22" t="str"/>
      <x:c r="AM52" s="22" t="str"/>
      <x:c r="AN52" s="22" t="str"/>
      <x:c r="AO52" s="22" t="str"/>
      <x:c r="AP52" s="22" t="str"/>
      <x:c r="AQ52" s="22" t="str"/>
      <x:c r="AR52" s="22" t="str"/>
      <x:c r="AS52" s="22" t="str"/>
      <x:c r="AT52" s="22" t="str"/>
      <x:c r="AU52" s="22" t="str"/>
      <x:c r="AV52" s="22" t="str"/>
      <x:c r="AW52" s="22" t="str"/>
      <x:c r="AX52" s="22" t="str"/>
      <x:c r="AY52" s="22" t="str"/>
      <x:c r="AZ52" s="22" t="str"/>
      <x:c r="BA52" s="22" t="str"/>
      <x:c r="BB52" s="22" t="str"/>
      <x:c r="BC52" s="22" t="str"/>
      <x:c r="BD52" s="22" t="str"/>
      <x:c r="BE52" s="22" t="str"/>
      <x:c r="BF52" s="22" t="str"/>
      <x:c r="BG52" s="22" t="str"/>
      <x:c r="BH52" s="22" t="str"/>
      <x:c r="BI52" s="22" t="str"/>
      <x:c r="BJ52" s="22" t="str"/>
    </x:row>
    <x:row r="53">
      <x:c r="A53" s="13" t="str">
        <x:v>BS実績残高_任意</x:v>
      </x:c>
      <x:c r="B53" s="13" t="str">
        <x:v>純資産</x:v>
      </x:c>
      <x:c r="C53" s="22" t="str"/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str"/>
      <x:c r="AA53" s="22" t="str"/>
      <x:c r="AB53" s="22" t="str"/>
      <x:c r="AC53" s="22" t="str"/>
      <x:c r="AD53" s="22" t="str"/>
      <x:c r="AE53" s="22" t="str"/>
      <x:c r="AF53" s="22" t="str"/>
      <x:c r="AG53" s="22" t="str"/>
      <x:c r="AH53" s="22" t="str"/>
      <x:c r="AI53" s="22" t="str"/>
      <x:c r="AJ53" s="22" t="str"/>
      <x:c r="AK53" s="22" t="str"/>
      <x:c r="AL53" s="22" t="str"/>
      <x:c r="AM53" s="22" t="str"/>
      <x:c r="AN53" s="22" t="str"/>
      <x:c r="AO53" s="22" t="str"/>
      <x:c r="AP53" s="22" t="str"/>
      <x:c r="AQ53" s="22" t="str"/>
      <x:c r="AR53" s="22" t="str"/>
      <x:c r="AS53" s="22" t="str"/>
      <x:c r="AT53" s="22" t="str"/>
      <x:c r="AU53" s="22" t="str"/>
      <x:c r="AV53" s="22" t="str"/>
      <x:c r="AW53" s="22" t="str"/>
      <x:c r="AX53" s="22" t="str"/>
      <x:c r="AY53" s="22" t="str"/>
      <x:c r="AZ53" s="22" t="str"/>
      <x:c r="BA53" s="22" t="str"/>
      <x:c r="BB53" s="22" t="str"/>
      <x:c r="BC53" s="22" t="str"/>
      <x:c r="BD53" s="22" t="str"/>
      <x:c r="BE53" s="22" t="str"/>
      <x:c r="BF53" s="22" t="str"/>
      <x:c r="BG53" s="22" t="str"/>
      <x:c r="BH53" s="22" t="str"/>
      <x:c r="BI53" s="22" t="str"/>
      <x:c r="BJ53" s="22" t="str"/>
    </x:row>
    <x:row r="54">
      <x:c r="A54" s="13" t="str">
        <x:v>運転資本_計算補助</x:v>
      </x:c>
      <x:c r="B54" s="13" t="str">
        <x:v>売掛回収日数</x:v>
      </x:c>
      <x:c r="C54" s="22" t="n">
        <x:v>15</x:v>
      </x:c>
      <x:c r="D54" s="22" t="n">
        <x:v>15</x:v>
      </x:c>
      <x:c r="E54" s="22" t="n">
        <x:v>15</x:v>
      </x:c>
      <x:c r="F54" s="22" t="n">
        <x:v>15</x:v>
      </x:c>
      <x:c r="G54" s="22" t="n">
        <x:v>15</x:v>
      </x:c>
      <x:c r="H54" s="22" t="n">
        <x:v>15</x:v>
      </x:c>
      <x:c r="I54" s="22" t="n">
        <x:v>15</x:v>
      </x:c>
      <x:c r="J54" s="22" t="n">
        <x:v>15</x:v>
      </x:c>
      <x:c r="K54" s="22" t="n">
        <x:v>15</x:v>
      </x:c>
      <x:c r="L54" s="22" t="n">
        <x:v>15</x:v>
      </x:c>
      <x:c r="M54" s="22" t="n">
        <x:v>15</x:v>
      </x:c>
      <x:c r="N54" s="22" t="n">
        <x:v>15</x:v>
      </x:c>
      <x:c r="O54" s="22" t="n">
        <x:v>15</x:v>
      </x:c>
      <x:c r="P54" s="22" t="n">
        <x:v>15</x:v>
      </x:c>
      <x:c r="Q54" s="22" t="n">
        <x:v>15</x:v>
      </x:c>
      <x:c r="R54" s="22" t="n">
        <x:v>15</x:v>
      </x:c>
      <x:c r="S54" s="22" t="n">
        <x:v>15</x:v>
      </x:c>
      <x:c r="T54" s="22" t="n">
        <x:v>15</x:v>
      </x:c>
      <x:c r="U54" s="22" t="n">
        <x:v>15</x:v>
      </x:c>
      <x:c r="V54" s="22" t="n">
        <x:v>15</x:v>
      </x:c>
      <x:c r="W54" s="22" t="n">
        <x:v>15</x:v>
      </x:c>
      <x:c r="X54" s="22" t="n">
        <x:v>15</x:v>
      </x:c>
      <x:c r="Y54" s="22" t="n">
        <x:v>15</x:v>
      </x:c>
      <x:c r="Z54" s="22" t="n">
        <x:v>15</x:v>
      </x:c>
      <x:c r="AA54" s="22" t="n">
        <x:v>15</x:v>
      </x:c>
      <x:c r="AB54" s="22" t="n">
        <x:v>15</x:v>
      </x:c>
      <x:c r="AC54" s="22" t="n">
        <x:v>15</x:v>
      </x:c>
      <x:c r="AD54" s="22" t="n">
        <x:v>15</x:v>
      </x:c>
      <x:c r="AE54" s="22" t="n">
        <x:v>15</x:v>
      </x:c>
      <x:c r="AF54" s="22" t="n">
        <x:v>15</x:v>
      </x:c>
      <x:c r="AG54" s="22" t="n">
        <x:v>15</x:v>
      </x:c>
      <x:c r="AH54" s="22" t="n">
        <x:v>15</x:v>
      </x:c>
      <x:c r="AI54" s="22" t="n">
        <x:v>15</x:v>
      </x:c>
      <x:c r="AJ54" s="22" t="n">
        <x:v>15</x:v>
      </x:c>
      <x:c r="AK54" s="22" t="n">
        <x:v>15</x:v>
      </x:c>
      <x:c r="AL54" s="22" t="n">
        <x:v>15</x:v>
      </x:c>
      <x:c r="AM54" s="22" t="n">
        <x:v>15</x:v>
      </x:c>
      <x:c r="AN54" s="22" t="n">
        <x:v>15</x:v>
      </x:c>
      <x:c r="AO54" s="22" t="n">
        <x:v>15</x:v>
      </x:c>
      <x:c r="AP54" s="22" t="n">
        <x:v>15</x:v>
      </x:c>
      <x:c r="AQ54" s="22" t="n">
        <x:v>15</x:v>
      </x:c>
      <x:c r="AR54" s="22" t="n">
        <x:v>15</x:v>
      </x:c>
      <x:c r="AS54" s="22" t="n">
        <x:v>15</x:v>
      </x:c>
      <x:c r="AT54" s="22" t="n">
        <x:v>15</x:v>
      </x:c>
      <x:c r="AU54" s="22" t="n">
        <x:v>15</x:v>
      </x:c>
      <x:c r="AV54" s="22" t="n">
        <x:v>15</x:v>
      </x:c>
      <x:c r="AW54" s="22" t="n">
        <x:v>15</x:v>
      </x:c>
      <x:c r="AX54" s="22" t="n">
        <x:v>15</x:v>
      </x:c>
      <x:c r="AY54" s="22" t="n">
        <x:v>15</x:v>
      </x:c>
      <x:c r="AZ54" s="22" t="n">
        <x:v>15</x:v>
      </x:c>
      <x:c r="BA54" s="22" t="n">
        <x:v>15</x:v>
      </x:c>
      <x:c r="BB54" s="22" t="n">
        <x:v>15</x:v>
      </x:c>
      <x:c r="BC54" s="22" t="n">
        <x:v>15</x:v>
      </x:c>
      <x:c r="BD54" s="22" t="n">
        <x:v>15</x:v>
      </x:c>
      <x:c r="BE54" s="22" t="n">
        <x:v>15</x:v>
      </x:c>
      <x:c r="BF54" s="22" t="n">
        <x:v>15</x:v>
      </x:c>
      <x:c r="BG54" s="22" t="n">
        <x:v>15</x:v>
      </x:c>
      <x:c r="BH54" s="22" t="n">
        <x:v>15</x:v>
      </x:c>
      <x:c r="BI54" s="22" t="n">
        <x:v>15</x:v>
      </x:c>
      <x:c r="BJ54" s="22" t="n">
        <x:v>15</x:v>
      </x:c>
    </x:row>
    <x:row r="55">
      <x:c r="A55" s="13" t="str">
        <x:v>運転資本_計算補助</x:v>
      </x:c>
      <x:c r="B55" s="13" t="str">
        <x:v>買掛支払日数</x:v>
      </x:c>
      <x:c r="C55" s="22" t="n">
        <x:v>30</x:v>
      </x:c>
      <x:c r="D55" s="22" t="n">
        <x:v>30</x:v>
      </x:c>
      <x:c r="E55" s="22" t="n">
        <x:v>30</x:v>
      </x:c>
      <x:c r="F55" s="22" t="n">
        <x:v>30</x:v>
      </x:c>
      <x:c r="G55" s="22" t="n">
        <x:v>30</x:v>
      </x:c>
      <x:c r="H55" s="22" t="n">
        <x:v>30</x:v>
      </x:c>
      <x:c r="I55" s="22" t="n">
        <x:v>30</x:v>
      </x:c>
      <x:c r="J55" s="22" t="n">
        <x:v>30</x:v>
      </x:c>
      <x:c r="K55" s="22" t="n">
        <x:v>30</x:v>
      </x:c>
      <x:c r="L55" s="22" t="n">
        <x:v>30</x:v>
      </x:c>
      <x:c r="M55" s="22" t="n">
        <x:v>30</x:v>
      </x:c>
      <x:c r="N55" s="22" t="n">
        <x:v>30</x:v>
      </x:c>
      <x:c r="O55" s="22" t="n">
        <x:v>30</x:v>
      </x:c>
      <x:c r="P55" s="22" t="n">
        <x:v>30</x:v>
      </x:c>
      <x:c r="Q55" s="22" t="n">
        <x:v>30</x:v>
      </x:c>
      <x:c r="R55" s="22" t="n">
        <x:v>30</x:v>
      </x:c>
      <x:c r="S55" s="22" t="n">
        <x:v>30</x:v>
      </x:c>
      <x:c r="T55" s="22" t="n">
        <x:v>30</x:v>
      </x:c>
      <x:c r="U55" s="22" t="n">
        <x:v>30</x:v>
      </x:c>
      <x:c r="V55" s="22" t="n">
        <x:v>30</x:v>
      </x:c>
      <x:c r="W55" s="22" t="n">
        <x:v>30</x:v>
      </x:c>
      <x:c r="X55" s="22" t="n">
        <x:v>30</x:v>
      </x:c>
      <x:c r="Y55" s="22" t="n">
        <x:v>30</x:v>
      </x:c>
      <x:c r="Z55" s="22" t="n">
        <x:v>30</x:v>
      </x:c>
      <x:c r="AA55" s="22" t="n">
        <x:v>30</x:v>
      </x:c>
      <x:c r="AB55" s="22" t="n">
        <x:v>30</x:v>
      </x:c>
      <x:c r="AC55" s="22" t="n">
        <x:v>30</x:v>
      </x:c>
      <x:c r="AD55" s="22" t="n">
        <x:v>30</x:v>
      </x:c>
      <x:c r="AE55" s="22" t="n">
        <x:v>30</x:v>
      </x:c>
      <x:c r="AF55" s="22" t="n">
        <x:v>30</x:v>
      </x:c>
      <x:c r="AG55" s="22" t="n">
        <x:v>30</x:v>
      </x:c>
      <x:c r="AH55" s="22" t="n">
        <x:v>30</x:v>
      </x:c>
      <x:c r="AI55" s="22" t="n">
        <x:v>30</x:v>
      </x:c>
      <x:c r="AJ55" s="22" t="n">
        <x:v>30</x:v>
      </x:c>
      <x:c r="AK55" s="22" t="n">
        <x:v>30</x:v>
      </x:c>
      <x:c r="AL55" s="22" t="n">
        <x:v>30</x:v>
      </x:c>
      <x:c r="AM55" s="22" t="n">
        <x:v>30</x:v>
      </x:c>
      <x:c r="AN55" s="22" t="n">
        <x:v>30</x:v>
      </x:c>
      <x:c r="AO55" s="22" t="n">
        <x:v>30</x:v>
      </x:c>
      <x:c r="AP55" s="22" t="n">
        <x:v>30</x:v>
      </x:c>
      <x:c r="AQ55" s="22" t="n">
        <x:v>30</x:v>
      </x:c>
      <x:c r="AR55" s="22" t="n">
        <x:v>30</x:v>
      </x:c>
      <x:c r="AS55" s="22" t="n">
        <x:v>30</x:v>
      </x:c>
      <x:c r="AT55" s="22" t="n">
        <x:v>30</x:v>
      </x:c>
      <x:c r="AU55" s="22" t="n">
        <x:v>30</x:v>
      </x:c>
      <x:c r="AV55" s="22" t="n">
        <x:v>30</x:v>
      </x:c>
      <x:c r="AW55" s="22" t="n">
        <x:v>30</x:v>
      </x:c>
      <x:c r="AX55" s="22" t="n">
        <x:v>30</x:v>
      </x:c>
      <x:c r="AY55" s="22" t="n">
        <x:v>30</x:v>
      </x:c>
      <x:c r="AZ55" s="22" t="n">
        <x:v>30</x:v>
      </x:c>
      <x:c r="BA55" s="22" t="n">
        <x:v>30</x:v>
      </x:c>
      <x:c r="BB55" s="22" t="n">
        <x:v>30</x:v>
      </x:c>
      <x:c r="BC55" s="22" t="n">
        <x:v>30</x:v>
      </x:c>
      <x:c r="BD55" s="22" t="n">
        <x:v>30</x:v>
      </x:c>
      <x:c r="BE55" s="22" t="n">
        <x:v>30</x:v>
      </x:c>
      <x:c r="BF55" s="22" t="n">
        <x:v>30</x:v>
      </x:c>
      <x:c r="BG55" s="22" t="n">
        <x:v>30</x:v>
      </x:c>
      <x:c r="BH55" s="22" t="n">
        <x:v>30</x:v>
      </x:c>
      <x:c r="BI55" s="22" t="n">
        <x:v>30</x:v>
      </x:c>
      <x:c r="BJ55" s="22" t="n">
        <x:v>30</x:v>
      </x:c>
    </x:row>
    <x:row r="56">
      <x:c r="A56" s="13" t="str">
        <x:v>投資・財務</x:v>
      </x:c>
      <x:c r="B56" s="13" t="str">
        <x:v>設備投資</x:v>
      </x:c>
      <x:c r="C56" s="22" t="n">
        <x:v>0</x:v>
      </x:c>
      <x:c r="D56" s="22" t="n">
        <x:v>0</x:v>
      </x:c>
      <x:c r="E56" s="22" t="n">
        <x:v>0</x:v>
      </x:c>
      <x:c r="F56" s="22" t="n">
        <x:v>0</x:v>
      </x:c>
      <x:c r="G56" s="22" t="n">
        <x:v>0</x:v>
      </x:c>
      <x:c r="H56" s="22" t="n">
        <x:v>0</x:v>
      </x:c>
      <x:c r="I56" s="22" t="n">
        <x:v>0</x:v>
      </x:c>
      <x:c r="J56" s="22" t="n">
        <x:v>0</x:v>
      </x:c>
      <x:c r="K56" s="22" t="n">
        <x:v>0</x:v>
      </x:c>
      <x:c r="L56" s="22" t="n">
        <x:v>0</x:v>
      </x:c>
      <x:c r="M56" s="22" t="n">
        <x:v>0</x:v>
      </x:c>
      <x:c r="N56" s="22" t="n">
        <x:v>0</x:v>
      </x:c>
      <x:c r="O56" s="22" t="n">
        <x:v>0</x:v>
      </x:c>
      <x:c r="P56" s="22" t="n">
        <x:v>0</x:v>
      </x:c>
      <x:c r="Q56" s="22" t="n">
        <x:v>0</x:v>
      </x:c>
      <x:c r="R56" s="22" t="n">
        <x:v>0</x:v>
      </x:c>
      <x:c r="S56" s="22" t="n">
        <x:v>0</x:v>
      </x:c>
      <x:c r="T56" s="22" t="n">
        <x:v>0</x:v>
      </x:c>
      <x:c r="U56" s="22" t="n">
        <x:v>0</x:v>
      </x:c>
      <x:c r="V56" s="22" t="n">
        <x:v>0</x:v>
      </x:c>
      <x:c r="W56" s="22" t="n">
        <x:v>0</x:v>
      </x:c>
      <x:c r="X56" s="22" t="n">
        <x:v>0</x:v>
      </x:c>
      <x:c r="Y56" s="22" t="n">
        <x:v>0</x:v>
      </x:c>
      <x:c r="Z56" s="22" t="n">
        <x:v>0</x:v>
      </x:c>
      <x:c r="AA56" s="22" t="n">
        <x:v>0</x:v>
      </x:c>
      <x:c r="AB56" s="22" t="n">
        <x:v>0</x:v>
      </x:c>
      <x:c r="AC56" s="22" t="n">
        <x:v>0</x:v>
      </x:c>
      <x:c r="AD56" s="22" t="n">
        <x:v>0</x:v>
      </x:c>
      <x:c r="AE56" s="22" t="n">
        <x:v>0</x:v>
      </x:c>
      <x:c r="AF56" s="22" t="n">
        <x:v>0</x:v>
      </x:c>
      <x:c r="AG56" s="22" t="n">
        <x:v>0</x:v>
      </x:c>
      <x:c r="AH56" s="22" t="n">
        <x:v>0</x:v>
      </x:c>
      <x:c r="AI56" s="22" t="n">
        <x:v>0</x:v>
      </x:c>
      <x:c r="AJ56" s="22" t="n">
        <x:v>0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0</x:v>
      </x:c>
      <x:c r="AT56" s="22" t="n">
        <x:v>0</x:v>
      </x:c>
      <x:c r="AU56" s="22" t="n">
        <x:v>0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</x:row>
    <x:row r="57">
      <x:c r="A57" s="13" t="str">
        <x:v>投資・財務</x:v>
      </x:c>
      <x:c r="B57" s="13" t="str">
        <x:v>配当・役員賞与等</x:v>
      </x:c>
      <x:c r="C57" s="22" t="n">
        <x:v>0</x:v>
      </x:c>
      <x:c r="D57" s="22" t="n">
        <x:v>0</x:v>
      </x:c>
      <x:c r="E57" s="22" t="n">
        <x:v>0</x:v>
      </x:c>
      <x:c r="F57" s="22" t="n">
        <x:v>0</x:v>
      </x:c>
      <x:c r="G57" s="22" t="n">
        <x:v>0</x:v>
      </x:c>
      <x:c r="H57" s="22" t="n">
        <x:v>0</x:v>
      </x:c>
      <x:c r="I57" s="22" t="n">
        <x:v>0</x:v>
      </x:c>
      <x:c r="J57" s="22" t="n">
        <x:v>0</x:v>
      </x:c>
      <x:c r="K57" s="22" t="n">
        <x:v>0</x:v>
      </x:c>
      <x:c r="L57" s="22" t="n">
        <x:v>0</x:v>
      </x:c>
      <x:c r="M57" s="22" t="n">
        <x:v>0</x:v>
      </x:c>
      <x:c r="N57" s="22" t="n">
        <x:v>0</x:v>
      </x:c>
      <x:c r="O57" s="22" t="n">
        <x:v>0</x:v>
      </x:c>
      <x:c r="P57" s="22" t="n">
        <x:v>0</x:v>
      </x:c>
      <x:c r="Q57" s="22" t="n">
        <x:v>0</x:v>
      </x:c>
      <x:c r="R57" s="22" t="n">
        <x:v>0</x:v>
      </x:c>
      <x:c r="S57" s="22" t="n">
        <x:v>0</x:v>
      </x:c>
      <x:c r="T57" s="22" t="n">
        <x:v>0</x:v>
      </x:c>
      <x:c r="U57" s="22" t="n">
        <x:v>0</x:v>
      </x:c>
      <x:c r="V57" s="22" t="n">
        <x:v>0</x:v>
      </x:c>
      <x:c r="W57" s="22" t="n">
        <x:v>0</x:v>
      </x:c>
      <x:c r="X57" s="22" t="n">
        <x:v>0</x:v>
      </x:c>
      <x:c r="Y57" s="22" t="n">
        <x:v>0</x:v>
      </x:c>
      <x:c r="Z57" s="22" t="n">
        <x:v>0</x:v>
      </x:c>
      <x:c r="AA57" s="22" t="n">
        <x:v>0</x:v>
      </x:c>
      <x:c r="AB57" s="22" t="n">
        <x:v>0</x:v>
      </x:c>
      <x:c r="AC57" s="22" t="n">
        <x:v>0</x:v>
      </x:c>
      <x:c r="AD57" s="22" t="n">
        <x:v>0</x:v>
      </x:c>
      <x:c r="AE57" s="22" t="n">
        <x:v>0</x:v>
      </x:c>
      <x:c r="AF57" s="22" t="n">
        <x:v>0</x:v>
      </x:c>
      <x:c r="AG57" s="22" t="n">
        <x:v>0</x:v>
      </x:c>
      <x:c r="AH57" s="22" t="n">
        <x:v>0</x:v>
      </x:c>
      <x:c r="AI57" s="22" t="n">
        <x:v>0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</x:row>
    <x:row r="58">
      <x:c r="A58" s="13" t="str">
        <x:v>投資・財務</x:v>
      </x:c>
      <x:c r="B58" s="13" t="str">
        <x:v>新規借入</x:v>
      </x:c>
      <x:c r="C58" s="22" t="n">
        <x:v>0</x:v>
      </x:c>
      <x:c r="D58" s="22" t="n">
        <x:v>0</x:v>
      </x:c>
      <x:c r="E58" s="22" t="n">
        <x:v>0</x:v>
      </x:c>
      <x:c r="F58" s="22" t="n">
        <x:v>0</x:v>
      </x:c>
      <x:c r="G58" s="22" t="n">
        <x:v>0</x:v>
      </x:c>
      <x:c r="H58" s="22" t="n">
        <x:v>0</x:v>
      </x:c>
      <x:c r="I58" s="22" t="n">
        <x:v>0</x:v>
      </x:c>
      <x:c r="J58" s="22" t="n">
        <x:v>0</x:v>
      </x:c>
      <x:c r="K58" s="22" t="n">
        <x:v>0</x:v>
      </x:c>
      <x:c r="L58" s="22" t="n">
        <x:v>0</x:v>
      </x:c>
      <x:c r="M58" s="22" t="n">
        <x:v>0</x:v>
      </x:c>
      <x:c r="N58" s="22" t="n">
        <x:v>0</x:v>
      </x:c>
      <x:c r="O58" s="22" t="n">
        <x:v>0</x:v>
      </x:c>
      <x:c r="P58" s="22" t="n">
        <x:v>0</x:v>
      </x:c>
      <x:c r="Q58" s="22" t="n">
        <x:v>0</x:v>
      </x:c>
      <x:c r="R58" s="22" t="n">
        <x:v>0</x:v>
      </x:c>
      <x:c r="S58" s="22" t="n">
        <x:v>0</x:v>
      </x:c>
      <x:c r="T58" s="22" t="n">
        <x:v>0</x:v>
      </x:c>
      <x:c r="U58" s="22" t="n">
        <x:v>0</x:v>
      </x:c>
      <x:c r="V58" s="22" t="n">
        <x:v>0</x:v>
      </x:c>
      <x:c r="W58" s="22" t="n">
        <x:v>0</x:v>
      </x:c>
      <x:c r="X58" s="22" t="n">
        <x:v>0</x:v>
      </x:c>
      <x:c r="Y58" s="22" t="n">
        <x:v>0</x:v>
      </x:c>
      <x:c r="Z58" s="22" t="n">
        <x:v>0</x:v>
      </x:c>
      <x:c r="AA58" s="22" t="n">
        <x:v>0</x:v>
      </x:c>
      <x:c r="AB58" s="22" t="n">
        <x:v>0</x:v>
      </x:c>
      <x:c r="AC58" s="22" t="n">
        <x:v>0</x:v>
      </x:c>
      <x:c r="AD58" s="22" t="n">
        <x:v>0</x:v>
      </x:c>
      <x:c r="AE58" s="22" t="n">
        <x:v>0</x:v>
      </x:c>
      <x:c r="AF58" s="22" t="n">
        <x:v>0</x:v>
      </x:c>
      <x:c r="AG58" s="22" t="n">
        <x:v>0</x:v>
      </x:c>
      <x:c r="AH58" s="22" t="n">
        <x:v>0</x:v>
      </x:c>
      <x:c r="AI58" s="22" t="n">
        <x:v>0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</x:row>
    <x:row r="59">
      <x:c r="A59" s="13" t="str">
        <x:v>投資・財務</x:v>
      </x:c>
      <x:c r="B59" s="13" t="str">
        <x:v>元本返済</x:v>
      </x:c>
      <x:c r="C59" s="22" t="n">
        <x:v>0</x:v>
      </x:c>
      <x:c r="D59" s="22" t="n">
        <x:v>0</x:v>
      </x:c>
      <x:c r="E59" s="22" t="n">
        <x:v>0</x:v>
      </x:c>
      <x:c r="F59" s="22" t="n">
        <x:v>0</x:v>
      </x:c>
      <x:c r="G59" s="22" t="n">
        <x:v>0</x:v>
      </x:c>
      <x:c r="H59" s="22" t="n">
        <x:v>0</x:v>
      </x:c>
      <x:c r="I59" s="22" t="n">
        <x:v>0</x:v>
      </x:c>
      <x:c r="J59" s="22" t="n">
        <x:v>0</x:v>
      </x:c>
      <x:c r="K59" s="22" t="n">
        <x:v>0</x:v>
      </x:c>
      <x:c r="L59" s="22" t="n">
        <x:v>0</x:v>
      </x:c>
      <x:c r="M59" s="22" t="n">
        <x:v>0</x:v>
      </x:c>
      <x:c r="N59" s="22" t="n">
        <x:v>0</x:v>
      </x:c>
      <x:c r="O59" s="22" t="n">
        <x:v>0</x:v>
      </x:c>
      <x:c r="P59" s="22" t="n">
        <x:v>0</x:v>
      </x:c>
      <x:c r="Q59" s="22" t="n">
        <x:v>0</x:v>
      </x:c>
      <x:c r="R59" s="22" t="n">
        <x:v>0</x:v>
      </x:c>
      <x:c r="S59" s="22" t="n">
        <x:v>0</x:v>
      </x:c>
      <x:c r="T59" s="22" t="n">
        <x:v>0</x:v>
      </x:c>
      <x:c r="U59" s="22" t="n">
        <x:v>0</x:v>
      </x:c>
      <x:c r="V59" s="22" t="n">
        <x:v>0</x:v>
      </x:c>
      <x:c r="W59" s="22" t="n">
        <x:v>0</x:v>
      </x:c>
      <x:c r="X59" s="22" t="n">
        <x:v>0</x:v>
      </x:c>
      <x:c r="Y59" s="22" t="n">
        <x:v>0</x:v>
      </x:c>
      <x:c r="Z59" s="22" t="n">
        <x:v>0</x:v>
      </x:c>
      <x:c r="AA59" s="22" t="n">
        <x:v>0</x:v>
      </x:c>
      <x:c r="AB59" s="22" t="n">
        <x:v>0</x:v>
      </x:c>
      <x:c r="AC59" s="22" t="n">
        <x:v>0</x:v>
      </x:c>
      <x:c r="AD59" s="22" t="n">
        <x:v>0</x:v>
      </x:c>
      <x:c r="AE59" s="22" t="n">
        <x:v>0</x:v>
      </x:c>
      <x:c r="AF59" s="22" t="n">
        <x:v>0</x:v>
      </x:c>
      <x:c r="AG59" s="22" t="n">
        <x:v>0</x:v>
      </x:c>
      <x:c r="AH59" s="22" t="n">
        <x:v>0</x:v>
      </x:c>
      <x:c r="AI59" s="22" t="n">
        <x:v>0</x:v>
      </x:c>
      <x:c r="AJ59" s="22" t="n">
        <x:v>0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0</x:v>
      </x:c>
      <x:c r="AU59" s="22" t="n">
        <x:v>0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</x:row>
    <x:row r="60">
      <x:c r="A60" s="13" t="str">
        <x:v>投資・財務</x:v>
      </x:c>
      <x:c r="B60" s="13" t="str">
        <x:v>繰上返済</x:v>
      </x:c>
      <x:c r="C60" s="22" t="n">
        <x:v>0</x:v>
      </x:c>
      <x:c r="D60" s="22" t="n">
        <x:v>0</x:v>
      </x:c>
      <x:c r="E60" s="22" t="n">
        <x:v>0</x:v>
      </x:c>
      <x:c r="F60" s="22" t="n">
        <x:v>0</x:v>
      </x:c>
      <x:c r="G60" s="22" t="n">
        <x:v>0</x:v>
      </x:c>
      <x:c r="H60" s="22" t="n">
        <x:v>0</x:v>
      </x:c>
      <x:c r="I60" s="22" t="n">
        <x:v>0</x:v>
      </x:c>
      <x:c r="J60" s="22" t="n">
        <x:v>0</x:v>
      </x:c>
      <x:c r="K60" s="22" t="n">
        <x:v>0</x:v>
      </x:c>
      <x:c r="L60" s="22" t="n">
        <x:v>0</x:v>
      </x:c>
      <x:c r="M60" s="22" t="n">
        <x:v>0</x:v>
      </x:c>
      <x:c r="N60" s="22" t="n">
        <x:v>0</x:v>
      </x:c>
      <x:c r="O60" s="22" t="n">
        <x:v>0</x:v>
      </x:c>
      <x:c r="P60" s="22" t="n">
        <x:v>0</x:v>
      </x:c>
      <x:c r="Q60" s="22" t="n">
        <x:v>0</x:v>
      </x:c>
      <x:c r="R60" s="22" t="n">
        <x:v>0</x:v>
      </x:c>
      <x:c r="S60" s="22" t="n">
        <x:v>0</x:v>
      </x:c>
      <x:c r="T60" s="22" t="n">
        <x:v>0</x:v>
      </x:c>
      <x:c r="U60" s="22" t="n">
        <x:v>0</x:v>
      </x:c>
      <x:c r="V60" s="22" t="n">
        <x:v>0</x:v>
      </x:c>
      <x:c r="W60" s="22" t="n">
        <x:v>0</x:v>
      </x:c>
      <x:c r="X60" s="22" t="n">
        <x:v>0</x:v>
      </x:c>
      <x:c r="Y60" s="22" t="n">
        <x:v>0</x:v>
      </x:c>
      <x:c r="Z60" s="22" t="n">
        <x:v>0</x:v>
      </x:c>
      <x:c r="AA60" s="22" t="n">
        <x:v>0</x:v>
      </x:c>
      <x:c r="AB60" s="22" t="n">
        <x:v>0</x:v>
      </x:c>
      <x:c r="AC60" s="22" t="n">
        <x:v>0</x:v>
      </x:c>
      <x:c r="AD60" s="22" t="n">
        <x:v>0</x:v>
      </x:c>
      <x:c r="AE60" s="22" t="n">
        <x:v>0</x:v>
      </x:c>
      <x:c r="AF60" s="22" t="n">
        <x:v>0</x:v>
      </x:c>
      <x:c r="AG60" s="22" t="n">
        <x:v>0</x:v>
      </x:c>
      <x:c r="AH60" s="22" t="n">
        <x:v>0</x:v>
      </x:c>
      <x:c r="AI60" s="22" t="n">
        <x:v>0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</x:row>
    <x:row r="61">
      <x:c r="A61" s="13" t="str">
        <x:v>投資・財務</x:v>
      </x:c>
      <x:c r="B61" s="13" t="str">
        <x:v>年利</x:v>
      </x:c>
      <x:c r="C61" s="26" t="n">
        <x:v>0.02</x:v>
      </x:c>
      <x:c r="D61" s="26" t="n">
        <x:v>0.02</x:v>
      </x:c>
      <x:c r="E61" s="26" t="n">
        <x:v>0.02</x:v>
      </x:c>
      <x:c r="F61" s="26" t="n">
        <x:v>0.02</x:v>
      </x:c>
      <x:c r="G61" s="26" t="n">
        <x:v>0.02</x:v>
      </x:c>
      <x:c r="H61" s="26" t="n">
        <x:v>0.02</x:v>
      </x:c>
      <x:c r="I61" s="26" t="n">
        <x:v>0.02</x:v>
      </x:c>
      <x:c r="J61" s="26" t="n">
        <x:v>0.02</x:v>
      </x:c>
      <x:c r="K61" s="26" t="n">
        <x:v>0.02</x:v>
      </x:c>
      <x:c r="L61" s="26" t="n">
        <x:v>0.02</x:v>
      </x:c>
      <x:c r="M61" s="26" t="n">
        <x:v>0.02</x:v>
      </x:c>
      <x:c r="N61" s="26" t="n">
        <x:v>0.02</x:v>
      </x:c>
      <x:c r="O61" s="26" t="n">
        <x:v>0.02</x:v>
      </x:c>
      <x:c r="P61" s="26" t="n">
        <x:v>0.02</x:v>
      </x:c>
      <x:c r="Q61" s="26" t="n">
        <x:v>0.02</x:v>
      </x:c>
      <x:c r="R61" s="26" t="n">
        <x:v>0.02</x:v>
      </x:c>
      <x:c r="S61" s="26" t="n">
        <x:v>0.02</x:v>
      </x:c>
      <x:c r="T61" s="26" t="n">
        <x:v>0.02</x:v>
      </x:c>
      <x:c r="U61" s="26" t="n">
        <x:v>0.02</x:v>
      </x:c>
      <x:c r="V61" s="26" t="n">
        <x:v>0.02</x:v>
      </x:c>
      <x:c r="W61" s="26" t="n">
        <x:v>0.02</x:v>
      </x:c>
      <x:c r="X61" s="26" t="n">
        <x:v>0.02</x:v>
      </x:c>
      <x:c r="Y61" s="26" t="n">
        <x:v>0.02</x:v>
      </x:c>
      <x:c r="Z61" s="26" t="n">
        <x:v>0.02</x:v>
      </x:c>
      <x:c r="AA61" s="26" t="n">
        <x:v>0.02</x:v>
      </x:c>
      <x:c r="AB61" s="26" t="n">
        <x:v>0.02</x:v>
      </x:c>
      <x:c r="AC61" s="26" t="n">
        <x:v>0.02</x:v>
      </x:c>
      <x:c r="AD61" s="26" t="n">
        <x:v>0.02</x:v>
      </x:c>
      <x:c r="AE61" s="26" t="n">
        <x:v>0.02</x:v>
      </x:c>
      <x:c r="AF61" s="26" t="n">
        <x:v>0.02</x:v>
      </x:c>
      <x:c r="AG61" s="26" t="n">
        <x:v>0.02</x:v>
      </x:c>
      <x:c r="AH61" s="26" t="n">
        <x:v>0.02</x:v>
      </x:c>
      <x:c r="AI61" s="26" t="n">
        <x:v>0.02</x:v>
      </x:c>
      <x:c r="AJ61" s="26" t="n">
        <x:v>0.02</x:v>
      </x:c>
      <x:c r="AK61" s="26" t="n">
        <x:v>0.02</x:v>
      </x:c>
      <x:c r="AL61" s="26" t="n">
        <x:v>0.02</x:v>
      </x:c>
      <x:c r="AM61" s="26" t="n">
        <x:v>0.02</x:v>
      </x:c>
      <x:c r="AN61" s="26" t="n">
        <x:v>0.02</x:v>
      </x:c>
      <x:c r="AO61" s="26" t="n">
        <x:v>0.02</x:v>
      </x:c>
      <x:c r="AP61" s="26" t="n">
        <x:v>0.02</x:v>
      </x:c>
      <x:c r="AQ61" s="26" t="n">
        <x:v>0.02</x:v>
      </x:c>
      <x:c r="AR61" s="26" t="n">
        <x:v>0.02</x:v>
      </x:c>
      <x:c r="AS61" s="26" t="n">
        <x:v>0.02</x:v>
      </x:c>
      <x:c r="AT61" s="26" t="n">
        <x:v>0.02</x:v>
      </x:c>
      <x:c r="AU61" s="26" t="n">
        <x:v>0.02</x:v>
      </x:c>
      <x:c r="AV61" s="26" t="n">
        <x:v>0.02</x:v>
      </x:c>
      <x:c r="AW61" s="26" t="n">
        <x:v>0.02</x:v>
      </x:c>
      <x:c r="AX61" s="26" t="n">
        <x:v>0.02</x:v>
      </x:c>
      <x:c r="AY61" s="26" t="n">
        <x:v>0.02</x:v>
      </x:c>
      <x:c r="AZ61" s="26" t="n">
        <x:v>0.02</x:v>
      </x:c>
      <x:c r="BA61" s="26" t="n">
        <x:v>0.02</x:v>
      </x:c>
      <x:c r="BB61" s="26" t="n">
        <x:v>0.02</x:v>
      </x:c>
      <x:c r="BC61" s="26" t="n">
        <x:v>0.02</x:v>
      </x:c>
      <x:c r="BD61" s="26" t="n">
        <x:v>0.02</x:v>
      </x:c>
      <x:c r="BE61" s="26" t="n">
        <x:v>0.02</x:v>
      </x:c>
      <x:c r="BF61" s="26" t="n">
        <x:v>0.02</x:v>
      </x:c>
      <x:c r="BG61" s="26" t="n">
        <x:v>0.02</x:v>
      </x:c>
      <x:c r="BH61" s="26" t="n">
        <x:v>0.02</x:v>
      </x:c>
      <x:c r="BI61" s="26" t="n">
        <x:v>0.02</x:v>
      </x:c>
      <x:c r="BJ61" s="26" t="n">
        <x:v>0.02</x:v>
      </x:c>
    </x:row>
    <x:row r="62">
      <x:c r="A62" s="13" t="str">
        <x:v>メモ</x:v>
      </x:c>
      <x:c r="B62" s="13" t="str">
        <x:v>月次コメント</x:v>
      </x:c>
      <x:c r="C62" s="28" t="str"/>
      <x:c r="D62" s="28" t="str"/>
      <x:c r="E62" s="28" t="str"/>
      <x:c r="F62" s="28" t="str"/>
      <x:c r="G62" s="28" t="str"/>
      <x:c r="H62" s="28" t="str"/>
      <x:c r="I62" s="28" t="str"/>
      <x:c r="J62" s="28" t="str"/>
      <x:c r="K62" s="28" t="str"/>
      <x:c r="L62" s="28" t="str"/>
      <x:c r="M62" s="28" t="str"/>
      <x:c r="N62" s="28" t="str"/>
      <x:c r="O62" s="28" t="str"/>
      <x:c r="P62" s="28" t="str"/>
      <x:c r="Q62" s="28" t="str"/>
      <x:c r="R62" s="28" t="str"/>
      <x:c r="S62" s="28" t="str"/>
      <x:c r="T62" s="28" t="str"/>
      <x:c r="U62" s="28" t="str"/>
      <x:c r="V62" s="28" t="str"/>
      <x:c r="W62" s="28" t="str"/>
      <x:c r="X62" s="28" t="str"/>
      <x:c r="Y62" s="28" t="str"/>
      <x:c r="Z62" s="28" t="str"/>
      <x:c r="AA62" s="28" t="str"/>
      <x:c r="AB62" s="28" t="str"/>
      <x:c r="AC62" s="28" t="str"/>
      <x:c r="AD62" s="28" t="str"/>
      <x:c r="AE62" s="28" t="str"/>
      <x:c r="AF62" s="28" t="str"/>
      <x:c r="AG62" s="28" t="str"/>
      <x:c r="AH62" s="28" t="str"/>
      <x:c r="AI62" s="28" t="str"/>
      <x:c r="AJ62" s="28" t="str"/>
      <x:c r="AK62" s="28" t="str"/>
      <x:c r="AL62" s="28" t="str"/>
      <x:c r="AM62" s="28" t="str"/>
      <x:c r="AN62" s="28" t="str"/>
      <x:c r="AO62" s="28" t="str"/>
      <x:c r="AP62" s="28" t="str"/>
      <x:c r="AQ62" s="28" t="str"/>
      <x:c r="AR62" s="28" t="str"/>
      <x:c r="AS62" s="28" t="str"/>
      <x:c r="AT62" s="28" t="str"/>
      <x:c r="AU62" s="28" t="str"/>
      <x:c r="AV62" s="28" t="str"/>
      <x:c r="AW62" s="28" t="str"/>
      <x:c r="AX62" s="28" t="str"/>
      <x:c r="AY62" s="28" t="str"/>
      <x:c r="AZ62" s="28" t="str"/>
      <x:c r="BA62" s="28" t="str"/>
      <x:c r="BB62" s="28" t="str"/>
      <x:c r="BC62" s="28" t="str"/>
      <x:c r="BD62" s="28" t="str"/>
      <x:c r="BE62" s="28" t="str"/>
      <x:c r="BF62" s="28" t="str"/>
      <x:c r="BG62" s="28" t="str"/>
      <x:c r="BH62" s="28" t="str"/>
      <x:c r="BI62" s="28" t="str"/>
      <x:c r="BJ62" s="28" t="str"/>
    </x:row>
    <x:row r="63">
      <x:c r="A63" s="13" t="str">
        <x:v>メモ</x:v>
      </x:c>
      <x:c r="B63" s="13" t="str">
        <x:v>入力者</x:v>
      </x:c>
      <x:c r="C63" s="28" t="str"/>
      <x:c r="D63" s="28" t="str"/>
      <x:c r="E63" s="28" t="str"/>
      <x:c r="F63" s="28" t="str"/>
      <x:c r="G63" s="28" t="str"/>
      <x:c r="H63" s="28" t="str"/>
      <x:c r="I63" s="28" t="str"/>
      <x:c r="J63" s="28" t="str"/>
      <x:c r="K63" s="28" t="str"/>
      <x:c r="L63" s="28" t="str"/>
      <x:c r="M63" s="28" t="str"/>
      <x:c r="N63" s="28" t="str"/>
      <x:c r="O63" s="28" t="str"/>
      <x:c r="P63" s="28" t="str"/>
      <x:c r="Q63" s="28" t="str"/>
      <x:c r="R63" s="28" t="str"/>
      <x:c r="S63" s="28" t="str"/>
      <x:c r="T63" s="28" t="str"/>
      <x:c r="U63" s="28" t="str"/>
      <x:c r="V63" s="28" t="str"/>
      <x:c r="W63" s="28" t="str"/>
      <x:c r="X63" s="28" t="str"/>
      <x:c r="Y63" s="28" t="str"/>
      <x:c r="Z63" s="28" t="str"/>
      <x:c r="AA63" s="28" t="str"/>
      <x:c r="AB63" s="28" t="str"/>
      <x:c r="AC63" s="28" t="str"/>
      <x:c r="AD63" s="28" t="str"/>
      <x:c r="AE63" s="28" t="str"/>
      <x:c r="AF63" s="28" t="str"/>
      <x:c r="AG63" s="28" t="str"/>
      <x:c r="AH63" s="28" t="str"/>
      <x:c r="AI63" s="28" t="str"/>
      <x:c r="AJ63" s="28" t="str"/>
      <x:c r="AK63" s="28" t="str"/>
      <x:c r="AL63" s="28" t="str"/>
      <x:c r="AM63" s="28" t="str"/>
      <x:c r="AN63" s="28" t="str"/>
      <x:c r="AO63" s="28" t="str"/>
      <x:c r="AP63" s="28" t="str"/>
      <x:c r="AQ63" s="28" t="str"/>
      <x:c r="AR63" s="28" t="str"/>
      <x:c r="AS63" s="28" t="str"/>
      <x:c r="AT63" s="28" t="str"/>
      <x:c r="AU63" s="28" t="str"/>
      <x:c r="AV63" s="28" t="str"/>
      <x:c r="AW63" s="28" t="str"/>
      <x:c r="AX63" s="28" t="str"/>
      <x:c r="AY63" s="28" t="str"/>
      <x:c r="AZ63" s="28" t="str"/>
      <x:c r="BA63" s="28" t="str"/>
      <x:c r="BB63" s="28" t="str"/>
      <x:c r="BC63" s="28" t="str"/>
      <x:c r="BD63" s="28" t="str"/>
      <x:c r="BE63" s="28" t="str"/>
      <x:c r="BF63" s="28" t="str"/>
      <x:c r="BG63" s="28" t="str"/>
      <x:c r="BH63" s="28" t="str"/>
      <x:c r="BI63" s="28" t="str"/>
      <x:c r="BJ63" s="28" t="str"/>
    </x:row>
    <x:row r="64">
      <x:c r="A64" s="13" t="str">
        <x:v>メモ</x:v>
      </x:c>
      <x:c r="B64" s="13" t="str">
        <x:v>入力日</x:v>
      </x:c>
      <x:c r="C64" s="28" t="str"/>
      <x:c r="D64" s="28" t="str"/>
      <x:c r="E64" s="28" t="str"/>
      <x:c r="F64" s="28" t="str"/>
      <x:c r="G64" s="28" t="str"/>
      <x:c r="H64" s="28" t="str"/>
      <x:c r="I64" s="28" t="str"/>
      <x:c r="J64" s="28" t="str"/>
      <x:c r="K64" s="28" t="str"/>
      <x:c r="L64" s="28" t="str"/>
      <x:c r="M64" s="28" t="str"/>
      <x:c r="N64" s="28" t="str"/>
      <x:c r="O64" s="28" t="str"/>
      <x:c r="P64" s="28" t="str"/>
      <x:c r="Q64" s="28" t="str"/>
      <x:c r="R64" s="28" t="str"/>
      <x:c r="S64" s="28" t="str"/>
      <x:c r="T64" s="28" t="str"/>
      <x:c r="U64" s="28" t="str"/>
      <x:c r="V64" s="28" t="str"/>
      <x:c r="W64" s="28" t="str"/>
      <x:c r="X64" s="28" t="str"/>
      <x:c r="Y64" s="28" t="str"/>
      <x:c r="Z64" s="28" t="str"/>
      <x:c r="AA64" s="28" t="str"/>
      <x:c r="AB64" s="28" t="str"/>
      <x:c r="AC64" s="28" t="str"/>
      <x:c r="AD64" s="28" t="str"/>
      <x:c r="AE64" s="28" t="str"/>
      <x:c r="AF64" s="28" t="str"/>
      <x:c r="AG64" s="28" t="str"/>
      <x:c r="AH64" s="28" t="str"/>
      <x:c r="AI64" s="28" t="str"/>
      <x:c r="AJ64" s="28" t="str"/>
      <x:c r="AK64" s="28" t="str"/>
      <x:c r="AL64" s="28" t="str"/>
      <x:c r="AM64" s="28" t="str"/>
      <x:c r="AN64" s="28" t="str"/>
      <x:c r="AO64" s="28" t="str"/>
      <x:c r="AP64" s="28" t="str"/>
      <x:c r="AQ64" s="28" t="str"/>
      <x:c r="AR64" s="28" t="str"/>
      <x:c r="AS64" s="28" t="str"/>
      <x:c r="AT64" s="28" t="str"/>
      <x:c r="AU64" s="28" t="str"/>
      <x:c r="AV64" s="28" t="str"/>
      <x:c r="AW64" s="28" t="str"/>
      <x:c r="AX64" s="28" t="str"/>
      <x:c r="AY64" s="28" t="str"/>
      <x:c r="AZ64" s="28" t="str"/>
      <x:c r="BA64" s="28" t="str"/>
      <x:c r="BB64" s="28" t="str"/>
      <x:c r="BC64" s="28" t="str"/>
      <x:c r="BD64" s="28" t="str"/>
      <x:c r="BE64" s="28" t="str"/>
      <x:c r="BF64" s="28" t="str"/>
      <x:c r="BG64" s="28" t="str"/>
      <x:c r="BH64" s="28" t="str"/>
      <x:c r="BI64" s="28" t="str"/>
      <x:c r="BJ64" s="28" t="str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</x:row>
  </x:sheetData>
  <x:mergeCells>
    <x:mergeCell ref="A1:B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5" t="str">
        <x:v>銀行API・CSV取込｜入出金明細正規化テーブル</x:v>
      </x:c>
    </x:row>
    <x:row r="3">
      <x:c r="A3" t="str">
        <x:v>用途</x:v>
      </x:c>
      <x:c r="B3" t="str">
        <x:v>銀行APIまたはCSVから取込。摘要・金額をもとに仕訳候補を作成し、03_仕訳帳へ転記。</x:v>
      </x:c>
    </x:row>
    <x:row r="6">
      <x:c r="A6" s="32" t="str">
        <x:v>取引日</x:v>
      </x:c>
      <x:c r="B6" s="32" t="str">
        <x:v>銀行名</x:v>
      </x:c>
      <x:c r="C6" s="32" t="str">
        <x:v>口座</x:v>
      </x:c>
      <x:c r="D6" s="32" t="str">
        <x:v>摘要</x:v>
      </x:c>
      <x:c r="E6" s="32" t="str">
        <x:v>入金</x:v>
      </x:c>
      <x:c r="F6" s="32" t="str">
        <x:v>出金</x:v>
      </x:c>
      <x:c r="G6" s="32" t="str">
        <x:v>残高</x:v>
      </x:c>
      <x:c r="H6" s="32" t="str">
        <x:v>分類状況</x:v>
      </x:c>
      <x:c r="I6" s="32" t="str">
        <x:v>推奨勘定科目</x:v>
      </x:c>
      <x:c r="J6" s="32" t="str">
        <x:v>取引先</x:v>
      </x:c>
      <x:c r="K6" s="32" t="str">
        <x:v>メモ</x:v>
      </x:c>
    </x:row>
    <x:row r="7">
      <x:c r="A7" s="88"/>
      <x:c r="B7" s="85"/>
      <x:c r="C7" s="85"/>
      <x:c r="D7" s="85"/>
      <x:c r="E7" s="90"/>
      <x:c r="F7" s="90"/>
      <x:c r="G7" s="90"/>
      <x:c r="H7" s="85"/>
      <x:c r="I7" s="85"/>
      <x:c r="J7" s="85"/>
      <x:c r="K7" s="85"/>
    </x:row>
    <x:row r="8">
      <x:c r="A8" s="88"/>
      <x:c r="B8" s="85"/>
      <x:c r="C8" s="85"/>
      <x:c r="D8" s="85"/>
      <x:c r="E8" s="90"/>
      <x:c r="F8" s="90"/>
      <x:c r="G8" s="90"/>
      <x:c r="H8" s="85"/>
      <x:c r="I8" s="85"/>
      <x:c r="J8" s="85"/>
      <x:c r="K8" s="85"/>
    </x:row>
    <x:row r="9">
      <x:c r="A9" s="88"/>
      <x:c r="B9" s="85"/>
      <x:c r="C9" s="85"/>
      <x:c r="D9" s="85"/>
      <x:c r="E9" s="90"/>
      <x:c r="F9" s="90"/>
      <x:c r="G9" s="90"/>
      <x:c r="H9" s="85"/>
      <x:c r="I9" s="85"/>
      <x:c r="J9" s="85"/>
      <x:c r="K9" s="85"/>
    </x:row>
    <x:row r="10">
      <x:c r="A10" s="88"/>
      <x:c r="B10" s="85"/>
      <x:c r="C10" s="85"/>
      <x:c r="D10" s="85"/>
      <x:c r="E10" s="90"/>
      <x:c r="F10" s="90"/>
      <x:c r="G10" s="90"/>
      <x:c r="H10" s="85"/>
      <x:c r="I10" s="85"/>
      <x:c r="J10" s="85"/>
      <x:c r="K10" s="85"/>
    </x:row>
    <x:row r="11">
      <x:c r="A11" s="88"/>
      <x:c r="B11" s="85"/>
      <x:c r="C11" s="85"/>
      <x:c r="D11" s="85"/>
      <x:c r="E11" s="90"/>
      <x:c r="F11" s="90"/>
      <x:c r="G11" s="90"/>
      <x:c r="H11" s="85"/>
      <x:c r="I11" s="85"/>
      <x:c r="J11" s="85"/>
      <x:c r="K11" s="85"/>
    </x:row>
    <x:row r="12">
      <x:c r="A12" s="88"/>
      <x:c r="B12" s="85"/>
      <x:c r="C12" s="85"/>
      <x:c r="D12" s="85"/>
      <x:c r="E12" s="90"/>
      <x:c r="F12" s="90"/>
      <x:c r="G12" s="90"/>
      <x:c r="H12" s="85"/>
      <x:c r="I12" s="85"/>
      <x:c r="J12" s="85"/>
      <x:c r="K12" s="85"/>
    </x:row>
    <x:row r="13">
      <x:c r="A13" s="88"/>
      <x:c r="B13" s="85"/>
      <x:c r="C13" s="85"/>
      <x:c r="D13" s="85"/>
      <x:c r="E13" s="90"/>
      <x:c r="F13" s="90"/>
      <x:c r="G13" s="90"/>
      <x:c r="H13" s="85"/>
      <x:c r="I13" s="85"/>
      <x:c r="J13" s="85"/>
      <x:c r="K13" s="85"/>
    </x:row>
    <x:row r="14">
      <x:c r="A14" s="88"/>
      <x:c r="B14" s="85"/>
      <x:c r="C14" s="85"/>
      <x:c r="D14" s="85"/>
      <x:c r="E14" s="90"/>
      <x:c r="F14" s="90"/>
      <x:c r="G14" s="90"/>
      <x:c r="H14" s="85"/>
      <x:c r="I14" s="85"/>
      <x:c r="J14" s="85"/>
      <x:c r="K14" s="85"/>
    </x:row>
    <x:row r="15">
      <x:c r="A15" s="88"/>
      <x:c r="B15" s="85"/>
      <x:c r="C15" s="85"/>
      <x:c r="D15" s="85"/>
      <x:c r="E15" s="90"/>
      <x:c r="F15" s="90"/>
      <x:c r="G15" s="90"/>
      <x:c r="H15" s="85"/>
      <x:c r="I15" s="85"/>
      <x:c r="J15" s="85"/>
      <x:c r="K15" s="85"/>
    </x:row>
    <x:row r="16">
      <x:c r="A16" s="88"/>
      <x:c r="B16" s="85"/>
      <x:c r="C16" s="85"/>
      <x:c r="D16" s="85"/>
      <x:c r="E16" s="90"/>
      <x:c r="F16" s="90"/>
      <x:c r="G16" s="90"/>
      <x:c r="H16" s="85"/>
      <x:c r="I16" s="85"/>
      <x:c r="J16" s="85"/>
      <x:c r="K16" s="85"/>
    </x:row>
    <x:row r="17">
      <x:c r="A17" s="88"/>
      <x:c r="B17" s="85"/>
      <x:c r="C17" s="85"/>
      <x:c r="D17" s="85"/>
      <x:c r="E17" s="90"/>
      <x:c r="F17" s="90"/>
      <x:c r="G17" s="90"/>
      <x:c r="H17" s="85"/>
      <x:c r="I17" s="85"/>
      <x:c r="J17" s="85"/>
      <x:c r="K17" s="85"/>
    </x:row>
    <x:row r="18">
      <x:c r="A18" s="88"/>
      <x:c r="B18" s="85"/>
      <x:c r="C18" s="85"/>
      <x:c r="D18" s="85"/>
      <x:c r="E18" s="90"/>
      <x:c r="F18" s="90"/>
      <x:c r="G18" s="90"/>
      <x:c r="H18" s="85"/>
      <x:c r="I18" s="85"/>
      <x:c r="J18" s="85"/>
      <x:c r="K18" s="85"/>
    </x:row>
    <x:row r="19">
      <x:c r="A19" s="88"/>
      <x:c r="B19" s="85"/>
      <x:c r="C19" s="85"/>
      <x:c r="D19" s="85"/>
      <x:c r="E19" s="90"/>
      <x:c r="F19" s="90"/>
      <x:c r="G19" s="90"/>
      <x:c r="H19" s="85"/>
      <x:c r="I19" s="85"/>
      <x:c r="J19" s="85"/>
      <x:c r="K19" s="85"/>
    </x:row>
    <x:row r="20">
      <x:c r="A20" s="88"/>
      <x:c r="B20" s="85"/>
      <x:c r="C20" s="85"/>
      <x:c r="D20" s="85"/>
      <x:c r="E20" s="90"/>
      <x:c r="F20" s="90"/>
      <x:c r="G20" s="90"/>
      <x:c r="H20" s="85"/>
      <x:c r="I20" s="85"/>
      <x:c r="J20" s="85"/>
      <x:c r="K20" s="85"/>
    </x:row>
    <x:row r="21">
      <x:c r="A21" s="88"/>
      <x:c r="B21" s="85"/>
      <x:c r="C21" s="85"/>
      <x:c r="D21" s="85"/>
      <x:c r="E21" s="90"/>
      <x:c r="F21" s="90"/>
      <x:c r="G21" s="90"/>
      <x:c r="H21" s="85"/>
      <x:c r="I21" s="85"/>
      <x:c r="J21" s="85"/>
      <x:c r="K21" s="85"/>
    </x:row>
    <x:row r="22">
      <x:c r="A22" s="88"/>
      <x:c r="B22" s="85"/>
      <x:c r="C22" s="85"/>
      <x:c r="D22" s="85"/>
      <x:c r="E22" s="90"/>
      <x:c r="F22" s="90"/>
      <x:c r="G22" s="90"/>
      <x:c r="H22" s="85"/>
      <x:c r="I22" s="85"/>
      <x:c r="J22" s="85"/>
      <x:c r="K22" s="85"/>
    </x:row>
    <x:row r="23">
      <x:c r="A23" s="88"/>
      <x:c r="B23" s="85"/>
      <x:c r="C23" s="85"/>
      <x:c r="D23" s="85"/>
      <x:c r="E23" s="90"/>
      <x:c r="F23" s="90"/>
      <x:c r="G23" s="90"/>
      <x:c r="H23" s="85"/>
      <x:c r="I23" s="85"/>
      <x:c r="J23" s="85"/>
      <x:c r="K23" s="85"/>
    </x:row>
    <x:row r="24">
      <x:c r="A24" s="88"/>
      <x:c r="B24" s="85"/>
      <x:c r="C24" s="85"/>
      <x:c r="D24" s="85"/>
      <x:c r="E24" s="90"/>
      <x:c r="F24" s="90"/>
      <x:c r="G24" s="90"/>
      <x:c r="H24" s="85"/>
      <x:c r="I24" s="85"/>
      <x:c r="J24" s="85"/>
      <x:c r="K24" s="85"/>
    </x:row>
    <x:row r="25">
      <x:c r="A25" s="88"/>
      <x:c r="B25" s="85"/>
      <x:c r="C25" s="85"/>
      <x:c r="D25" s="85"/>
      <x:c r="E25" s="90"/>
      <x:c r="F25" s="90"/>
      <x:c r="G25" s="90"/>
      <x:c r="H25" s="85"/>
      <x:c r="I25" s="85"/>
      <x:c r="J25" s="85"/>
      <x:c r="K25" s="85"/>
    </x:row>
    <x:row r="26">
      <x:c r="A26" s="88"/>
      <x:c r="B26" s="85"/>
      <x:c r="C26" s="85"/>
      <x:c r="D26" s="85"/>
      <x:c r="E26" s="90"/>
      <x:c r="F26" s="90"/>
      <x:c r="G26" s="90"/>
      <x:c r="H26" s="85"/>
      <x:c r="I26" s="85"/>
      <x:c r="J26" s="85"/>
      <x:c r="K26" s="85"/>
    </x:row>
    <x:row r="27">
      <x:c r="A27" s="88"/>
      <x:c r="B27" s="85"/>
      <x:c r="C27" s="85"/>
      <x:c r="D27" s="85"/>
      <x:c r="E27" s="90"/>
      <x:c r="F27" s="90"/>
      <x:c r="G27" s="90"/>
      <x:c r="H27" s="85"/>
      <x:c r="I27" s="85"/>
      <x:c r="J27" s="85"/>
      <x:c r="K27" s="85"/>
    </x:row>
    <x:row r="28">
      <x:c r="A28" s="88"/>
      <x:c r="B28" s="85"/>
      <x:c r="C28" s="85"/>
      <x:c r="D28" s="85"/>
      <x:c r="E28" s="90"/>
      <x:c r="F28" s="90"/>
      <x:c r="G28" s="90"/>
      <x:c r="H28" s="85"/>
      <x:c r="I28" s="85"/>
      <x:c r="J28" s="85"/>
      <x:c r="K28" s="85"/>
    </x:row>
    <x:row r="29">
      <x:c r="A29" s="88"/>
      <x:c r="B29" s="85"/>
      <x:c r="C29" s="85"/>
      <x:c r="D29" s="85"/>
      <x:c r="E29" s="90"/>
      <x:c r="F29" s="90"/>
      <x:c r="G29" s="90"/>
      <x:c r="H29" s="85"/>
      <x:c r="I29" s="85"/>
      <x:c r="J29" s="85"/>
      <x:c r="K29" s="85"/>
    </x:row>
    <x:row r="30">
      <x:c r="A30" s="88"/>
      <x:c r="B30" s="85"/>
      <x:c r="C30" s="85"/>
      <x:c r="D30" s="85"/>
      <x:c r="E30" s="90"/>
      <x:c r="F30" s="90"/>
      <x:c r="G30" s="90"/>
      <x:c r="H30" s="85"/>
      <x:c r="I30" s="85"/>
      <x:c r="J30" s="85"/>
      <x:c r="K30" s="85"/>
    </x:row>
    <x:row r="31">
      <x:c r="A31" s="88"/>
      <x:c r="B31" s="85"/>
      <x:c r="C31" s="85"/>
      <x:c r="D31" s="85"/>
      <x:c r="E31" s="90"/>
      <x:c r="F31" s="90"/>
      <x:c r="G31" s="90"/>
      <x:c r="H31" s="85"/>
      <x:c r="I31" s="85"/>
      <x:c r="J31" s="85"/>
      <x:c r="K31" s="85"/>
    </x:row>
    <x:row r="32">
      <x:c r="A32" s="88"/>
      <x:c r="B32" s="85"/>
      <x:c r="C32" s="85"/>
      <x:c r="D32" s="85"/>
      <x:c r="E32" s="90"/>
      <x:c r="F32" s="90"/>
      <x:c r="G32" s="90"/>
      <x:c r="H32" s="85"/>
      <x:c r="I32" s="85"/>
      <x:c r="J32" s="85"/>
      <x:c r="K32" s="85"/>
    </x:row>
    <x:row r="33">
      <x:c r="A33" s="88"/>
      <x:c r="B33" s="85"/>
      <x:c r="C33" s="85"/>
      <x:c r="D33" s="85"/>
      <x:c r="E33" s="90"/>
      <x:c r="F33" s="90"/>
      <x:c r="G33" s="90"/>
      <x:c r="H33" s="85"/>
      <x:c r="I33" s="85"/>
      <x:c r="J33" s="85"/>
      <x:c r="K33" s="85"/>
    </x:row>
    <x:row r="34">
      <x:c r="A34" s="88"/>
      <x:c r="B34" s="85"/>
      <x:c r="C34" s="85"/>
      <x:c r="D34" s="85"/>
      <x:c r="E34" s="90"/>
      <x:c r="F34" s="90"/>
      <x:c r="G34" s="90"/>
      <x:c r="H34" s="85"/>
      <x:c r="I34" s="85"/>
      <x:c r="J34" s="85"/>
      <x:c r="K34" s="85"/>
    </x:row>
    <x:row r="35">
      <x:c r="A35" s="88"/>
      <x:c r="B35" s="85"/>
      <x:c r="C35" s="85"/>
      <x:c r="D35" s="85"/>
      <x:c r="E35" s="90"/>
      <x:c r="F35" s="90"/>
      <x:c r="G35" s="90"/>
      <x:c r="H35" s="85"/>
      <x:c r="I35" s="85"/>
      <x:c r="J35" s="85"/>
      <x:c r="K35" s="85"/>
    </x:row>
    <x:row r="36">
      <x:c r="A36" s="88"/>
      <x:c r="B36" s="85"/>
      <x:c r="C36" s="85"/>
      <x:c r="D36" s="85"/>
      <x:c r="E36" s="90"/>
      <x:c r="F36" s="90"/>
      <x:c r="G36" s="90"/>
      <x:c r="H36" s="85"/>
      <x:c r="I36" s="85"/>
      <x:c r="J36" s="85"/>
      <x:c r="K36" s="85"/>
    </x:row>
    <x:row r="37">
      <x:c r="A37" s="88"/>
      <x:c r="B37" s="85"/>
      <x:c r="C37" s="85"/>
      <x:c r="D37" s="85"/>
      <x:c r="E37" s="90"/>
      <x:c r="F37" s="90"/>
      <x:c r="G37" s="90"/>
      <x:c r="H37" s="85"/>
      <x:c r="I37" s="85"/>
      <x:c r="J37" s="85"/>
      <x:c r="K37" s="85"/>
    </x:row>
    <x:row r="38">
      <x:c r="A38" s="88"/>
      <x:c r="B38" s="85"/>
      <x:c r="C38" s="85"/>
      <x:c r="D38" s="85"/>
      <x:c r="E38" s="90"/>
      <x:c r="F38" s="90"/>
      <x:c r="G38" s="90"/>
      <x:c r="H38" s="85"/>
      <x:c r="I38" s="85"/>
      <x:c r="J38" s="85"/>
      <x:c r="K38" s="85"/>
    </x:row>
    <x:row r="39">
      <x:c r="A39" s="88"/>
      <x:c r="B39" s="85"/>
      <x:c r="C39" s="85"/>
      <x:c r="D39" s="85"/>
      <x:c r="E39" s="90"/>
      <x:c r="F39" s="90"/>
      <x:c r="G39" s="90"/>
      <x:c r="H39" s="85"/>
      <x:c r="I39" s="85"/>
      <x:c r="J39" s="85"/>
      <x:c r="K39" s="85"/>
    </x:row>
    <x:row r="40">
      <x:c r="A40" s="88"/>
      <x:c r="B40" s="85"/>
      <x:c r="C40" s="85"/>
      <x:c r="D40" s="85"/>
      <x:c r="E40" s="90"/>
      <x:c r="F40" s="90"/>
      <x:c r="G40" s="90"/>
      <x:c r="H40" s="85"/>
      <x:c r="I40" s="85"/>
      <x:c r="J40" s="85"/>
      <x:c r="K40" s="85"/>
    </x:row>
    <x:row r="41">
      <x:c r="A41" s="88"/>
      <x:c r="B41" s="85"/>
      <x:c r="C41" s="85"/>
      <x:c r="D41" s="85"/>
      <x:c r="E41" s="90"/>
      <x:c r="F41" s="90"/>
      <x:c r="G41" s="90"/>
      <x:c r="H41" s="85"/>
      <x:c r="I41" s="85"/>
      <x:c r="J41" s="85"/>
      <x:c r="K41" s="85"/>
    </x:row>
    <x:row r="42">
      <x:c r="A42" s="88"/>
      <x:c r="B42" s="85"/>
      <x:c r="C42" s="85"/>
      <x:c r="D42" s="85"/>
      <x:c r="E42" s="90"/>
      <x:c r="F42" s="90"/>
      <x:c r="G42" s="90"/>
      <x:c r="H42" s="85"/>
      <x:c r="I42" s="85"/>
      <x:c r="J42" s="85"/>
      <x:c r="K42" s="85"/>
    </x:row>
    <x:row r="43">
      <x:c r="A43" s="88"/>
      <x:c r="B43" s="85"/>
      <x:c r="C43" s="85"/>
      <x:c r="D43" s="85"/>
      <x:c r="E43" s="90"/>
      <x:c r="F43" s="90"/>
      <x:c r="G43" s="90"/>
      <x:c r="H43" s="85"/>
      <x:c r="I43" s="85"/>
      <x:c r="J43" s="85"/>
      <x:c r="K43" s="85"/>
    </x:row>
    <x:row r="44">
      <x:c r="A44" s="88"/>
      <x:c r="B44" s="85"/>
      <x:c r="C44" s="85"/>
      <x:c r="D44" s="85"/>
      <x:c r="E44" s="90"/>
      <x:c r="F44" s="90"/>
      <x:c r="G44" s="90"/>
      <x:c r="H44" s="85"/>
      <x:c r="I44" s="85"/>
      <x:c r="J44" s="85"/>
      <x:c r="K44" s="85"/>
    </x:row>
    <x:row r="45">
      <x:c r="A45" s="88"/>
      <x:c r="B45" s="85"/>
      <x:c r="C45" s="85"/>
      <x:c r="D45" s="85"/>
      <x:c r="E45" s="90"/>
      <x:c r="F45" s="90"/>
      <x:c r="G45" s="90"/>
      <x:c r="H45" s="85"/>
      <x:c r="I45" s="85"/>
      <x:c r="J45" s="85"/>
      <x:c r="K45" s="85"/>
    </x:row>
    <x:row r="46">
      <x:c r="A46" s="88"/>
      <x:c r="B46" s="85"/>
      <x:c r="C46" s="85"/>
      <x:c r="D46" s="85"/>
      <x:c r="E46" s="90"/>
      <x:c r="F46" s="90"/>
      <x:c r="G46" s="90"/>
      <x:c r="H46" s="85"/>
      <x:c r="I46" s="85"/>
      <x:c r="J46" s="85"/>
      <x:c r="K46" s="85"/>
    </x:row>
    <x:row r="47">
      <x:c r="A47" s="88"/>
      <x:c r="B47" s="85"/>
      <x:c r="C47" s="85"/>
      <x:c r="D47" s="85"/>
      <x:c r="E47" s="90"/>
      <x:c r="F47" s="90"/>
      <x:c r="G47" s="90"/>
      <x:c r="H47" s="85"/>
      <x:c r="I47" s="85"/>
      <x:c r="J47" s="85"/>
      <x:c r="K47" s="85"/>
    </x:row>
    <x:row r="48">
      <x:c r="A48" s="88"/>
      <x:c r="B48" s="85"/>
      <x:c r="C48" s="85"/>
      <x:c r="D48" s="85"/>
      <x:c r="E48" s="90"/>
      <x:c r="F48" s="90"/>
      <x:c r="G48" s="90"/>
      <x:c r="H48" s="85"/>
      <x:c r="I48" s="85"/>
      <x:c r="J48" s="85"/>
      <x:c r="K48" s="85"/>
    </x:row>
    <x:row r="49">
      <x:c r="A49" s="88"/>
      <x:c r="B49" s="85"/>
      <x:c r="C49" s="85"/>
      <x:c r="D49" s="85"/>
      <x:c r="E49" s="90"/>
      <x:c r="F49" s="90"/>
      <x:c r="G49" s="90"/>
      <x:c r="H49" s="85"/>
      <x:c r="I49" s="85"/>
      <x:c r="J49" s="85"/>
      <x:c r="K49" s="85"/>
    </x:row>
    <x:row r="50">
      <x:c r="A50" s="88"/>
      <x:c r="B50" s="85"/>
      <x:c r="C50" s="85"/>
      <x:c r="D50" s="85"/>
      <x:c r="E50" s="90"/>
      <x:c r="F50" s="90"/>
      <x:c r="G50" s="90"/>
      <x:c r="H50" s="85"/>
      <x:c r="I50" s="85"/>
      <x:c r="J50" s="85"/>
      <x:c r="K50" s="85"/>
    </x:row>
    <x:row r="51">
      <x:c r="A51" s="88"/>
      <x:c r="B51" s="85"/>
      <x:c r="C51" s="85"/>
      <x:c r="D51" s="85"/>
      <x:c r="E51" s="90"/>
      <x:c r="F51" s="90"/>
      <x:c r="G51" s="90"/>
      <x:c r="H51" s="85"/>
      <x:c r="I51" s="85"/>
      <x:c r="J51" s="85"/>
      <x:c r="K51" s="85"/>
    </x:row>
    <x:row r="52">
      <x:c r="A52" s="88"/>
      <x:c r="B52" s="85"/>
      <x:c r="C52" s="85"/>
      <x:c r="D52" s="85"/>
      <x:c r="E52" s="90"/>
      <x:c r="F52" s="90"/>
      <x:c r="G52" s="90"/>
      <x:c r="H52" s="85"/>
      <x:c r="I52" s="85"/>
      <x:c r="J52" s="85"/>
      <x:c r="K52" s="85"/>
    </x:row>
    <x:row r="53">
      <x:c r="A53" s="88"/>
      <x:c r="B53" s="85"/>
      <x:c r="C53" s="85"/>
      <x:c r="D53" s="85"/>
      <x:c r="E53" s="90"/>
      <x:c r="F53" s="90"/>
      <x:c r="G53" s="90"/>
      <x:c r="H53" s="85"/>
      <x:c r="I53" s="85"/>
      <x:c r="J53" s="85"/>
      <x:c r="K53" s="85"/>
    </x:row>
    <x:row r="54">
      <x:c r="A54" s="88"/>
      <x:c r="B54" s="85"/>
      <x:c r="C54" s="85"/>
      <x:c r="D54" s="85"/>
      <x:c r="E54" s="90"/>
      <x:c r="F54" s="90"/>
      <x:c r="G54" s="90"/>
      <x:c r="H54" s="85"/>
      <x:c r="I54" s="85"/>
      <x:c r="J54" s="85"/>
      <x:c r="K54" s="85"/>
    </x:row>
    <x:row r="55">
      <x:c r="A55" s="88"/>
      <x:c r="B55" s="85"/>
      <x:c r="C55" s="85"/>
      <x:c r="D55" s="85"/>
      <x:c r="E55" s="90"/>
      <x:c r="F55" s="90"/>
      <x:c r="G55" s="90"/>
      <x:c r="H55" s="85"/>
      <x:c r="I55" s="85"/>
      <x:c r="J55" s="85"/>
      <x:c r="K55" s="85"/>
    </x:row>
    <x:row r="56">
      <x:c r="A56" s="88"/>
      <x:c r="B56" s="85"/>
      <x:c r="C56" s="85"/>
      <x:c r="D56" s="85"/>
      <x:c r="E56" s="90"/>
      <x:c r="F56" s="90"/>
      <x:c r="G56" s="90"/>
      <x:c r="H56" s="85"/>
      <x:c r="I56" s="85"/>
      <x:c r="J56" s="85"/>
      <x:c r="K56" s="85"/>
    </x:row>
    <x:row r="57">
      <x:c r="A57" s="88"/>
      <x:c r="B57" s="85"/>
      <x:c r="C57" s="85"/>
      <x:c r="D57" s="85"/>
      <x:c r="E57" s="90"/>
      <x:c r="F57" s="90"/>
      <x:c r="G57" s="90"/>
      <x:c r="H57" s="85"/>
      <x:c r="I57" s="85"/>
      <x:c r="J57" s="85"/>
      <x:c r="K57" s="85"/>
    </x:row>
    <x:row r="58">
      <x:c r="A58" s="88"/>
      <x:c r="B58" s="85"/>
      <x:c r="C58" s="85"/>
      <x:c r="D58" s="85"/>
      <x:c r="E58" s="90"/>
      <x:c r="F58" s="90"/>
      <x:c r="G58" s="90"/>
      <x:c r="H58" s="85"/>
      <x:c r="I58" s="85"/>
      <x:c r="J58" s="85"/>
      <x:c r="K58" s="85"/>
    </x:row>
    <x:row r="59">
      <x:c r="A59" s="88"/>
      <x:c r="B59" s="85"/>
      <x:c r="C59" s="85"/>
      <x:c r="D59" s="85"/>
      <x:c r="E59" s="90"/>
      <x:c r="F59" s="90"/>
      <x:c r="G59" s="90"/>
      <x:c r="H59" s="85"/>
      <x:c r="I59" s="85"/>
      <x:c r="J59" s="85"/>
      <x:c r="K59" s="85"/>
    </x:row>
    <x:row r="60">
      <x:c r="A60" s="88"/>
      <x:c r="B60" s="85"/>
      <x:c r="C60" s="85"/>
      <x:c r="D60" s="85"/>
      <x:c r="E60" s="90"/>
      <x:c r="F60" s="90"/>
      <x:c r="G60" s="90"/>
      <x:c r="H60" s="85"/>
      <x:c r="I60" s="85"/>
      <x:c r="J60" s="85"/>
      <x:c r="K60" s="85"/>
    </x:row>
    <x:row r="61">
      <x:c r="A61" s="88"/>
      <x:c r="B61" s="85"/>
      <x:c r="C61" s="85"/>
      <x:c r="D61" s="85"/>
      <x:c r="E61" s="90"/>
      <x:c r="F61" s="90"/>
      <x:c r="G61" s="90"/>
      <x:c r="H61" s="85"/>
      <x:c r="I61" s="85"/>
      <x:c r="J61" s="85"/>
      <x:c r="K61" s="85"/>
    </x:row>
    <x:row r="62">
      <x:c r="A62" s="88"/>
      <x:c r="B62" s="85"/>
      <x:c r="C62" s="85"/>
      <x:c r="D62" s="85"/>
      <x:c r="E62" s="90"/>
      <x:c r="F62" s="90"/>
      <x:c r="G62" s="90"/>
      <x:c r="H62" s="85"/>
      <x:c r="I62" s="85"/>
      <x:c r="J62" s="85"/>
      <x:c r="K62" s="85"/>
    </x:row>
    <x:row r="63">
      <x:c r="A63" s="88"/>
      <x:c r="B63" s="85"/>
      <x:c r="C63" s="85"/>
      <x:c r="D63" s="85"/>
      <x:c r="E63" s="90"/>
      <x:c r="F63" s="90"/>
      <x:c r="G63" s="90"/>
      <x:c r="H63" s="85"/>
      <x:c r="I63" s="85"/>
      <x:c r="J63" s="85"/>
      <x:c r="K63" s="85"/>
    </x:row>
    <x:row r="64">
      <x:c r="A64" s="88"/>
      <x:c r="B64" s="85"/>
      <x:c r="C64" s="85"/>
      <x:c r="D64" s="85"/>
      <x:c r="E64" s="90"/>
      <x:c r="F64" s="90"/>
      <x:c r="G64" s="90"/>
      <x:c r="H64" s="85"/>
      <x:c r="I64" s="85"/>
      <x:c r="J64" s="85"/>
      <x:c r="K64" s="85"/>
    </x:row>
    <x:row r="65">
      <x:c r="A65" s="88"/>
      <x:c r="B65" s="85"/>
      <x:c r="C65" s="85"/>
      <x:c r="D65" s="85"/>
      <x:c r="E65" s="90"/>
      <x:c r="F65" s="90"/>
      <x:c r="G65" s="90"/>
      <x:c r="H65" s="85"/>
      <x:c r="I65" s="85"/>
      <x:c r="J65" s="85"/>
      <x:c r="K65" s="85"/>
    </x:row>
    <x:row r="66">
      <x:c r="A66" s="88"/>
      <x:c r="B66" s="85"/>
      <x:c r="C66" s="85"/>
      <x:c r="D66" s="85"/>
      <x:c r="E66" s="90"/>
      <x:c r="F66" s="90"/>
      <x:c r="G66" s="90"/>
      <x:c r="H66" s="85"/>
      <x:c r="I66" s="85"/>
      <x:c r="J66" s="85"/>
      <x:c r="K66" s="85"/>
    </x:row>
    <x:row r="67">
      <x:c r="A67" s="88"/>
      <x:c r="B67" s="85"/>
      <x:c r="C67" s="85"/>
      <x:c r="D67" s="85"/>
      <x:c r="E67" s="90"/>
      <x:c r="F67" s="90"/>
      <x:c r="G67" s="90"/>
      <x:c r="H67" s="85"/>
      <x:c r="I67" s="85"/>
      <x:c r="J67" s="85"/>
      <x:c r="K67" s="85"/>
    </x:row>
    <x:row r="68">
      <x:c r="A68" s="88"/>
      <x:c r="B68" s="85"/>
      <x:c r="C68" s="85"/>
      <x:c r="D68" s="85"/>
      <x:c r="E68" s="90"/>
      <x:c r="F68" s="90"/>
      <x:c r="G68" s="90"/>
      <x:c r="H68" s="85"/>
      <x:c r="I68" s="85"/>
      <x:c r="J68" s="85"/>
      <x:c r="K68" s="85"/>
    </x:row>
    <x:row r="69">
      <x:c r="A69" s="88"/>
      <x:c r="B69" s="85"/>
      <x:c r="C69" s="85"/>
      <x:c r="D69" s="85"/>
      <x:c r="E69" s="90"/>
      <x:c r="F69" s="90"/>
      <x:c r="G69" s="90"/>
      <x:c r="H69" s="85"/>
      <x:c r="I69" s="85"/>
      <x:c r="J69" s="85"/>
      <x:c r="K69" s="85"/>
    </x:row>
    <x:row r="70">
      <x:c r="A70" s="88"/>
      <x:c r="B70" s="85"/>
      <x:c r="C70" s="85"/>
      <x:c r="D70" s="85"/>
      <x:c r="E70" s="90"/>
      <x:c r="F70" s="90"/>
      <x:c r="G70" s="90"/>
      <x:c r="H70" s="85"/>
      <x:c r="I70" s="85"/>
      <x:c r="J70" s="85"/>
      <x:c r="K70" s="85"/>
    </x:row>
    <x:row r="71">
      <x:c r="A71" s="88"/>
      <x:c r="B71" s="85"/>
      <x:c r="C71" s="85"/>
      <x:c r="D71" s="85"/>
      <x:c r="E71" s="90"/>
      <x:c r="F71" s="90"/>
      <x:c r="G71" s="90"/>
      <x:c r="H71" s="85"/>
      <x:c r="I71" s="85"/>
      <x:c r="J71" s="85"/>
      <x:c r="K71" s="85"/>
    </x:row>
    <x:row r="72">
      <x:c r="A72" s="88"/>
      <x:c r="B72" s="85"/>
      <x:c r="C72" s="85"/>
      <x:c r="D72" s="85"/>
      <x:c r="E72" s="90"/>
      <x:c r="F72" s="90"/>
      <x:c r="G72" s="90"/>
      <x:c r="H72" s="85"/>
      <x:c r="I72" s="85"/>
      <x:c r="J72" s="85"/>
      <x:c r="K72" s="85"/>
    </x:row>
    <x:row r="73">
      <x:c r="A73" s="88"/>
      <x:c r="B73" s="85"/>
      <x:c r="C73" s="85"/>
      <x:c r="D73" s="85"/>
      <x:c r="E73" s="90"/>
      <x:c r="F73" s="90"/>
      <x:c r="G73" s="90"/>
      <x:c r="H73" s="85"/>
      <x:c r="I73" s="85"/>
      <x:c r="J73" s="85"/>
      <x:c r="K73" s="85"/>
    </x:row>
    <x:row r="74">
      <x:c r="A74" s="88"/>
      <x:c r="B74" s="85"/>
      <x:c r="C74" s="85"/>
      <x:c r="D74" s="85"/>
      <x:c r="E74" s="90"/>
      <x:c r="F74" s="90"/>
      <x:c r="G74" s="90"/>
      <x:c r="H74" s="85"/>
      <x:c r="I74" s="85"/>
      <x:c r="J74" s="85"/>
      <x:c r="K74" s="85"/>
    </x:row>
    <x:row r="75">
      <x:c r="A75" s="88"/>
      <x:c r="B75" s="85"/>
      <x:c r="C75" s="85"/>
      <x:c r="D75" s="85"/>
      <x:c r="E75" s="90"/>
      <x:c r="F75" s="90"/>
      <x:c r="G75" s="90"/>
      <x:c r="H75" s="85"/>
      <x:c r="I75" s="85"/>
      <x:c r="J75" s="85"/>
      <x:c r="K75" s="85"/>
    </x:row>
    <x:row r="76">
      <x:c r="A76" s="88"/>
      <x:c r="B76" s="85"/>
      <x:c r="C76" s="85"/>
      <x:c r="D76" s="85"/>
      <x:c r="E76" s="90"/>
      <x:c r="F76" s="90"/>
      <x:c r="G76" s="90"/>
      <x:c r="H76" s="85"/>
      <x:c r="I76" s="85"/>
      <x:c r="J76" s="85"/>
      <x:c r="K76" s="85"/>
    </x:row>
    <x:row r="77">
      <x:c r="A77" s="88"/>
      <x:c r="B77" s="85"/>
      <x:c r="C77" s="85"/>
      <x:c r="D77" s="85"/>
      <x:c r="E77" s="90"/>
      <x:c r="F77" s="90"/>
      <x:c r="G77" s="90"/>
      <x:c r="H77" s="85"/>
      <x:c r="I77" s="85"/>
      <x:c r="J77" s="85"/>
      <x:c r="K77" s="85"/>
    </x:row>
    <x:row r="78">
      <x:c r="A78" s="88"/>
      <x:c r="B78" s="85"/>
      <x:c r="C78" s="85"/>
      <x:c r="D78" s="85"/>
      <x:c r="E78" s="90"/>
      <x:c r="F78" s="90"/>
      <x:c r="G78" s="90"/>
      <x:c r="H78" s="85"/>
      <x:c r="I78" s="85"/>
      <x:c r="J78" s="85"/>
      <x:c r="K78" s="85"/>
    </x:row>
    <x:row r="79">
      <x:c r="A79" s="88"/>
      <x:c r="B79" s="85"/>
      <x:c r="C79" s="85"/>
      <x:c r="D79" s="85"/>
      <x:c r="E79" s="90"/>
      <x:c r="F79" s="90"/>
      <x:c r="G79" s="90"/>
      <x:c r="H79" s="85"/>
      <x:c r="I79" s="85"/>
      <x:c r="J79" s="85"/>
      <x:c r="K79" s="85"/>
    </x:row>
    <x:row r="80">
      <x:c r="A80" s="88"/>
      <x:c r="B80" s="85"/>
      <x:c r="C80" s="85"/>
      <x:c r="D80" s="85"/>
      <x:c r="E80" s="90"/>
      <x:c r="F80" s="90"/>
      <x:c r="G80" s="90"/>
      <x:c r="H80" s="85"/>
      <x:c r="I80" s="85"/>
      <x:c r="J80" s="85"/>
      <x:c r="K80" s="85"/>
    </x:row>
    <x:row r="81">
      <x:c r="A81" s="88"/>
      <x:c r="B81" s="85"/>
      <x:c r="C81" s="85"/>
      <x:c r="D81" s="85"/>
      <x:c r="E81" s="90"/>
      <x:c r="F81" s="90"/>
      <x:c r="G81" s="90"/>
      <x:c r="H81" s="85"/>
      <x:c r="I81" s="85"/>
      <x:c r="J81" s="85"/>
      <x:c r="K81" s="85"/>
    </x:row>
    <x:row r="82">
      <x:c r="A82" s="88"/>
      <x:c r="B82" s="85"/>
      <x:c r="C82" s="85"/>
      <x:c r="D82" s="85"/>
      <x:c r="E82" s="90"/>
      <x:c r="F82" s="90"/>
      <x:c r="G82" s="90"/>
      <x:c r="H82" s="85"/>
      <x:c r="I82" s="85"/>
      <x:c r="J82" s="85"/>
      <x:c r="K82" s="85"/>
    </x:row>
    <x:row r="83">
      <x:c r="A83" s="88"/>
      <x:c r="B83" s="85"/>
      <x:c r="C83" s="85"/>
      <x:c r="D83" s="85"/>
      <x:c r="E83" s="90"/>
      <x:c r="F83" s="90"/>
      <x:c r="G83" s="90"/>
      <x:c r="H83" s="85"/>
      <x:c r="I83" s="85"/>
      <x:c r="J83" s="85"/>
      <x:c r="K83" s="85"/>
    </x:row>
    <x:row r="84">
      <x:c r="A84" s="88"/>
      <x:c r="B84" s="85"/>
      <x:c r="C84" s="85"/>
      <x:c r="D84" s="85"/>
      <x:c r="E84" s="90"/>
      <x:c r="F84" s="90"/>
      <x:c r="G84" s="90"/>
      <x:c r="H84" s="85"/>
      <x:c r="I84" s="85"/>
      <x:c r="J84" s="85"/>
      <x:c r="K84" s="85"/>
    </x:row>
    <x:row r="85">
      <x:c r="A85" s="88"/>
      <x:c r="B85" s="85"/>
      <x:c r="C85" s="85"/>
      <x:c r="D85" s="85"/>
      <x:c r="E85" s="90"/>
      <x:c r="F85" s="90"/>
      <x:c r="G85" s="90"/>
      <x:c r="H85" s="85"/>
      <x:c r="I85" s="85"/>
      <x:c r="J85" s="85"/>
      <x:c r="K85" s="85"/>
    </x:row>
    <x:row r="86">
      <x:c r="A86" s="88"/>
      <x:c r="B86" s="85"/>
      <x:c r="C86" s="85"/>
      <x:c r="D86" s="85"/>
      <x:c r="E86" s="90"/>
      <x:c r="F86" s="90"/>
      <x:c r="G86" s="90"/>
      <x:c r="H86" s="85"/>
      <x:c r="I86" s="85"/>
      <x:c r="J86" s="85"/>
      <x:c r="K86" s="85"/>
    </x:row>
    <x:row r="87">
      <x:c r="A87" s="88"/>
      <x:c r="B87" s="85"/>
      <x:c r="C87" s="85"/>
      <x:c r="D87" s="85"/>
      <x:c r="E87" s="90"/>
      <x:c r="F87" s="90"/>
      <x:c r="G87" s="90"/>
      <x:c r="H87" s="85"/>
      <x:c r="I87" s="85"/>
      <x:c r="J87" s="85"/>
      <x:c r="K87" s="85"/>
    </x:row>
    <x:row r="88">
      <x:c r="A88" s="88"/>
      <x:c r="B88" s="85"/>
      <x:c r="C88" s="85"/>
      <x:c r="D88" s="85"/>
      <x:c r="E88" s="90"/>
      <x:c r="F88" s="90"/>
      <x:c r="G88" s="90"/>
      <x:c r="H88" s="85"/>
      <x:c r="I88" s="85"/>
      <x:c r="J88" s="85"/>
      <x:c r="K88" s="85"/>
    </x:row>
    <x:row r="89">
      <x:c r="A89" s="88"/>
      <x:c r="B89" s="85"/>
      <x:c r="C89" s="85"/>
      <x:c r="D89" s="85"/>
      <x:c r="E89" s="90"/>
      <x:c r="F89" s="90"/>
      <x:c r="G89" s="90"/>
      <x:c r="H89" s="85"/>
      <x:c r="I89" s="85"/>
      <x:c r="J89" s="85"/>
      <x:c r="K89" s="85"/>
    </x:row>
    <x:row r="90">
      <x:c r="A90" s="88"/>
      <x:c r="B90" s="85"/>
      <x:c r="C90" s="85"/>
      <x:c r="D90" s="85"/>
      <x:c r="E90" s="90"/>
      <x:c r="F90" s="90"/>
      <x:c r="G90" s="90"/>
      <x:c r="H90" s="85"/>
      <x:c r="I90" s="85"/>
      <x:c r="J90" s="85"/>
      <x:c r="K90" s="85"/>
    </x:row>
    <x:row r="91">
      <x:c r="A91" s="88"/>
      <x:c r="B91" s="85"/>
      <x:c r="C91" s="85"/>
      <x:c r="D91" s="85"/>
      <x:c r="E91" s="90"/>
      <x:c r="F91" s="90"/>
      <x:c r="G91" s="90"/>
      <x:c r="H91" s="85"/>
      <x:c r="I91" s="85"/>
      <x:c r="J91" s="85"/>
      <x:c r="K91" s="85"/>
    </x:row>
    <x:row r="92">
      <x:c r="A92" s="88"/>
      <x:c r="B92" s="85"/>
      <x:c r="C92" s="85"/>
      <x:c r="D92" s="85"/>
      <x:c r="E92" s="90"/>
      <x:c r="F92" s="90"/>
      <x:c r="G92" s="90"/>
      <x:c r="H92" s="85"/>
      <x:c r="I92" s="85"/>
      <x:c r="J92" s="85"/>
      <x:c r="K92" s="85"/>
    </x:row>
    <x:row r="93">
      <x:c r="A93" s="88"/>
      <x:c r="B93" s="85"/>
      <x:c r="C93" s="85"/>
      <x:c r="D93" s="85"/>
      <x:c r="E93" s="90"/>
      <x:c r="F93" s="90"/>
      <x:c r="G93" s="90"/>
      <x:c r="H93" s="85"/>
      <x:c r="I93" s="85"/>
      <x:c r="J93" s="85"/>
      <x:c r="K93" s="85"/>
    </x:row>
    <x:row r="94">
      <x:c r="A94" s="88"/>
      <x:c r="B94" s="85"/>
      <x:c r="C94" s="85"/>
      <x:c r="D94" s="85"/>
      <x:c r="E94" s="90"/>
      <x:c r="F94" s="90"/>
      <x:c r="G94" s="90"/>
      <x:c r="H94" s="85"/>
      <x:c r="I94" s="85"/>
      <x:c r="J94" s="85"/>
      <x:c r="K94" s="85"/>
    </x:row>
    <x:row r="95">
      <x:c r="A95" s="88"/>
      <x:c r="B95" s="85"/>
      <x:c r="C95" s="85"/>
      <x:c r="D95" s="85"/>
      <x:c r="E95" s="90"/>
      <x:c r="F95" s="90"/>
      <x:c r="G95" s="90"/>
      <x:c r="H95" s="85"/>
      <x:c r="I95" s="85"/>
      <x:c r="J95" s="85"/>
      <x:c r="K95" s="85"/>
    </x:row>
    <x:row r="96">
      <x:c r="A96" s="88"/>
      <x:c r="B96" s="85"/>
      <x:c r="C96" s="85"/>
      <x:c r="D96" s="85"/>
      <x:c r="E96" s="90"/>
      <x:c r="F96" s="90"/>
      <x:c r="G96" s="90"/>
      <x:c r="H96" s="85"/>
      <x:c r="I96" s="85"/>
      <x:c r="J96" s="85"/>
      <x:c r="K96" s="85"/>
    </x:row>
    <x:row r="97">
      <x:c r="A97" s="88"/>
      <x:c r="B97" s="85"/>
      <x:c r="C97" s="85"/>
      <x:c r="D97" s="85"/>
      <x:c r="E97" s="90"/>
      <x:c r="F97" s="90"/>
      <x:c r="G97" s="90"/>
      <x:c r="H97" s="85"/>
      <x:c r="I97" s="85"/>
      <x:c r="J97" s="85"/>
      <x:c r="K97" s="85"/>
    </x:row>
    <x:row r="98">
      <x:c r="A98" s="88"/>
      <x:c r="B98" s="85"/>
      <x:c r="C98" s="85"/>
      <x:c r="D98" s="85"/>
      <x:c r="E98" s="90"/>
      <x:c r="F98" s="90"/>
      <x:c r="G98" s="90"/>
      <x:c r="H98" s="85"/>
      <x:c r="I98" s="85"/>
      <x:c r="J98" s="85"/>
      <x:c r="K98" s="85"/>
    </x:row>
    <x:row r="99">
      <x:c r="A99" s="88"/>
      <x:c r="B99" s="85"/>
      <x:c r="C99" s="85"/>
      <x:c r="D99" s="85"/>
      <x:c r="E99" s="90"/>
      <x:c r="F99" s="90"/>
      <x:c r="G99" s="90"/>
      <x:c r="H99" s="85"/>
      <x:c r="I99" s="85"/>
      <x:c r="J99" s="85"/>
      <x:c r="K99" s="85"/>
    </x:row>
    <x:row r="100">
      <x:c r="A100" s="88"/>
      <x:c r="B100" s="85"/>
      <x:c r="C100" s="85"/>
      <x:c r="D100" s="85"/>
      <x:c r="E100" s="90"/>
      <x:c r="F100" s="90"/>
      <x:c r="G100" s="90"/>
      <x:c r="H100" s="85"/>
      <x:c r="I100" s="85"/>
      <x:c r="J100" s="85"/>
      <x:c r="K100" s="85"/>
    </x:row>
    <x:row r="101">
      <x:c r="A101" s="88"/>
      <x:c r="B101" s="85"/>
      <x:c r="C101" s="85"/>
      <x:c r="D101" s="85"/>
      <x:c r="E101" s="90"/>
      <x:c r="F101" s="90"/>
      <x:c r="G101" s="90"/>
      <x:c r="H101" s="85"/>
      <x:c r="I101" s="85"/>
      <x:c r="J101" s="85"/>
      <x:c r="K101" s="85"/>
    </x:row>
    <x:row r="102">
      <x:c r="A102" s="88"/>
      <x:c r="B102" s="85"/>
      <x:c r="C102" s="85"/>
      <x:c r="D102" s="85"/>
      <x:c r="E102" s="90"/>
      <x:c r="F102" s="90"/>
      <x:c r="G102" s="90"/>
      <x:c r="H102" s="85"/>
      <x:c r="I102" s="85"/>
      <x:c r="J102" s="85"/>
      <x:c r="K102" s="85"/>
    </x:row>
    <x:row r="103">
      <x:c r="A103" s="88"/>
      <x:c r="B103" s="85"/>
      <x:c r="C103" s="85"/>
      <x:c r="D103" s="85"/>
      <x:c r="E103" s="90"/>
      <x:c r="F103" s="90"/>
      <x:c r="G103" s="90"/>
      <x:c r="H103" s="85"/>
      <x:c r="I103" s="85"/>
      <x:c r="J103" s="85"/>
      <x:c r="K103" s="85"/>
    </x:row>
    <x:row r="104">
      <x:c r="A104" s="88"/>
      <x:c r="B104" s="85"/>
      <x:c r="C104" s="85"/>
      <x:c r="D104" s="85"/>
      <x:c r="E104" s="90"/>
      <x:c r="F104" s="90"/>
      <x:c r="G104" s="90"/>
      <x:c r="H104" s="85"/>
      <x:c r="I104" s="85"/>
      <x:c r="J104" s="85"/>
      <x:c r="K104" s="85"/>
    </x:row>
    <x:row r="105">
      <x:c r="A105" s="88"/>
      <x:c r="B105" s="85"/>
      <x:c r="C105" s="85"/>
      <x:c r="D105" s="85"/>
      <x:c r="E105" s="90"/>
      <x:c r="F105" s="90"/>
      <x:c r="G105" s="90"/>
      <x:c r="H105" s="85"/>
      <x:c r="I105" s="85"/>
      <x:c r="J105" s="85"/>
      <x:c r="K105" s="85"/>
    </x:row>
    <x:row r="106">
      <x:c r="A106" s="88"/>
      <x:c r="B106" s="85"/>
      <x:c r="C106" s="85"/>
      <x:c r="D106" s="85"/>
      <x:c r="E106" s="90"/>
      <x:c r="F106" s="90"/>
      <x:c r="G106" s="90"/>
      <x:c r="H106" s="85"/>
      <x:c r="I106" s="85"/>
      <x:c r="J106" s="85"/>
      <x:c r="K106" s="85"/>
    </x:row>
    <x:row r="107">
      <x:c r="A107" s="88"/>
      <x:c r="B107" s="85"/>
      <x:c r="C107" s="85"/>
      <x:c r="D107" s="85"/>
      <x:c r="E107" s="90"/>
      <x:c r="F107" s="90"/>
      <x:c r="G107" s="90"/>
      <x:c r="H107" s="85"/>
      <x:c r="I107" s="85"/>
      <x:c r="J107" s="85"/>
      <x:c r="K107" s="85"/>
    </x:row>
    <x:row r="108">
      <x:c r="A108" s="88"/>
      <x:c r="B108" s="85"/>
      <x:c r="C108" s="85"/>
      <x:c r="D108" s="85"/>
      <x:c r="E108" s="90"/>
      <x:c r="F108" s="90"/>
      <x:c r="G108" s="90"/>
      <x:c r="H108" s="85"/>
      <x:c r="I108" s="85"/>
      <x:c r="J108" s="85"/>
      <x:c r="K108" s="85"/>
    </x:row>
    <x:row r="109">
      <x:c r="A109" s="88"/>
      <x:c r="B109" s="85"/>
      <x:c r="C109" s="85"/>
      <x:c r="D109" s="85"/>
      <x:c r="E109" s="90"/>
      <x:c r="F109" s="90"/>
      <x:c r="G109" s="90"/>
      <x:c r="H109" s="85"/>
      <x:c r="I109" s="85"/>
      <x:c r="J109" s="85"/>
      <x:c r="K109" s="85"/>
    </x:row>
    <x:row r="110">
      <x:c r="A110" s="88"/>
      <x:c r="B110" s="85"/>
      <x:c r="C110" s="85"/>
      <x:c r="D110" s="85"/>
      <x:c r="E110" s="90"/>
      <x:c r="F110" s="90"/>
      <x:c r="G110" s="90"/>
      <x:c r="H110" s="85"/>
      <x:c r="I110" s="85"/>
      <x:c r="J110" s="85"/>
      <x:c r="K110" s="85"/>
    </x:row>
    <x:row r="111">
      <x:c r="A111" s="88"/>
      <x:c r="B111" s="85"/>
      <x:c r="C111" s="85"/>
      <x:c r="D111" s="85"/>
      <x:c r="E111" s="90"/>
      <x:c r="F111" s="90"/>
      <x:c r="G111" s="90"/>
      <x:c r="H111" s="85"/>
      <x:c r="I111" s="85"/>
      <x:c r="J111" s="85"/>
      <x:c r="K111" s="85"/>
    </x:row>
    <x:row r="112">
      <x:c r="A112" s="88"/>
      <x:c r="B112" s="85"/>
      <x:c r="C112" s="85"/>
      <x:c r="D112" s="85"/>
      <x:c r="E112" s="90"/>
      <x:c r="F112" s="90"/>
      <x:c r="G112" s="90"/>
      <x:c r="H112" s="85"/>
      <x:c r="I112" s="85"/>
      <x:c r="J112" s="85"/>
      <x:c r="K112" s="85"/>
    </x:row>
    <x:row r="113">
      <x:c r="A113" s="88"/>
      <x:c r="B113" s="85"/>
      <x:c r="C113" s="85"/>
      <x:c r="D113" s="85"/>
      <x:c r="E113" s="90"/>
      <x:c r="F113" s="90"/>
      <x:c r="G113" s="90"/>
      <x:c r="H113" s="85"/>
      <x:c r="I113" s="85"/>
      <x:c r="J113" s="85"/>
      <x:c r="K113" s="85"/>
    </x:row>
    <x:row r="114">
      <x:c r="A114" s="88"/>
      <x:c r="B114" s="85"/>
      <x:c r="C114" s="85"/>
      <x:c r="D114" s="85"/>
      <x:c r="E114" s="90"/>
      <x:c r="F114" s="90"/>
      <x:c r="G114" s="90"/>
      <x:c r="H114" s="85"/>
      <x:c r="I114" s="85"/>
      <x:c r="J114" s="85"/>
      <x:c r="K114" s="85"/>
    </x:row>
    <x:row r="115">
      <x:c r="A115" s="88"/>
      <x:c r="B115" s="85"/>
      <x:c r="C115" s="85"/>
      <x:c r="D115" s="85"/>
      <x:c r="E115" s="90"/>
      <x:c r="F115" s="90"/>
      <x:c r="G115" s="90"/>
      <x:c r="H115" s="85"/>
      <x:c r="I115" s="85"/>
      <x:c r="J115" s="85"/>
      <x:c r="K115" s="85"/>
    </x:row>
    <x:row r="116">
      <x:c r="A116" s="88"/>
      <x:c r="B116" s="85"/>
      <x:c r="C116" s="85"/>
      <x:c r="D116" s="85"/>
      <x:c r="E116" s="90"/>
      <x:c r="F116" s="90"/>
      <x:c r="G116" s="90"/>
      <x:c r="H116" s="85"/>
      <x:c r="I116" s="85"/>
      <x:c r="J116" s="85"/>
      <x:c r="K116" s="85"/>
    </x:row>
    <x:row r="117">
      <x:c r="A117" s="88"/>
      <x:c r="B117" s="85"/>
      <x:c r="C117" s="85"/>
      <x:c r="D117" s="85"/>
      <x:c r="E117" s="90"/>
      <x:c r="F117" s="90"/>
      <x:c r="G117" s="90"/>
      <x:c r="H117" s="85"/>
      <x:c r="I117" s="85"/>
      <x:c r="J117" s="85"/>
      <x:c r="K117" s="85"/>
    </x:row>
    <x:row r="118">
      <x:c r="A118" s="88"/>
      <x:c r="B118" s="85"/>
      <x:c r="C118" s="85"/>
      <x:c r="D118" s="85"/>
      <x:c r="E118" s="90"/>
      <x:c r="F118" s="90"/>
      <x:c r="G118" s="90"/>
      <x:c r="H118" s="85"/>
      <x:c r="I118" s="85"/>
      <x:c r="J118" s="85"/>
      <x:c r="K118" s="85"/>
    </x:row>
    <x:row r="119">
      <x:c r="A119" s="88"/>
      <x:c r="B119" s="85"/>
      <x:c r="C119" s="85"/>
      <x:c r="D119" s="85"/>
      <x:c r="E119" s="90"/>
      <x:c r="F119" s="90"/>
      <x:c r="G119" s="90"/>
      <x:c r="H119" s="85"/>
      <x:c r="I119" s="85"/>
      <x:c r="J119" s="85"/>
      <x:c r="K119" s="85"/>
    </x:row>
    <x:row r="120">
      <x:c r="A120" s="88"/>
      <x:c r="B120" s="85"/>
      <x:c r="C120" s="85"/>
      <x:c r="D120" s="85"/>
      <x:c r="E120" s="90"/>
      <x:c r="F120" s="90"/>
      <x:c r="G120" s="90"/>
      <x:c r="H120" s="85"/>
      <x:c r="I120" s="85"/>
      <x:c r="J120" s="85"/>
      <x:c r="K120" s="85"/>
    </x:row>
    <x:row r="121">
      <x:c r="A121" s="88"/>
      <x:c r="B121" s="85"/>
      <x:c r="C121" s="85"/>
      <x:c r="D121" s="85"/>
      <x:c r="E121" s="90"/>
      <x:c r="F121" s="90"/>
      <x:c r="G121" s="90"/>
      <x:c r="H121" s="85"/>
      <x:c r="I121" s="85"/>
      <x:c r="J121" s="85"/>
      <x:c r="K121" s="85"/>
    </x:row>
    <x:row r="122">
      <x:c r="A122" s="88"/>
      <x:c r="B122" s="85"/>
      <x:c r="C122" s="85"/>
      <x:c r="D122" s="85"/>
      <x:c r="E122" s="90"/>
      <x:c r="F122" s="90"/>
      <x:c r="G122" s="90"/>
      <x:c r="H122" s="85"/>
      <x:c r="I122" s="85"/>
      <x:c r="J122" s="85"/>
      <x:c r="K122" s="85"/>
    </x:row>
    <x:row r="123">
      <x:c r="A123" s="88"/>
      <x:c r="B123" s="85"/>
      <x:c r="C123" s="85"/>
      <x:c r="D123" s="85"/>
      <x:c r="E123" s="90"/>
      <x:c r="F123" s="90"/>
      <x:c r="G123" s="90"/>
      <x:c r="H123" s="85"/>
      <x:c r="I123" s="85"/>
      <x:c r="J123" s="85"/>
      <x:c r="K123" s="85"/>
    </x:row>
    <x:row r="124">
      <x:c r="A124" s="88"/>
      <x:c r="B124" s="85"/>
      <x:c r="C124" s="85"/>
      <x:c r="D124" s="85"/>
      <x:c r="E124" s="90"/>
      <x:c r="F124" s="90"/>
      <x:c r="G124" s="90"/>
      <x:c r="H124" s="85"/>
      <x:c r="I124" s="85"/>
      <x:c r="J124" s="85"/>
      <x:c r="K124" s="85"/>
    </x:row>
    <x:row r="125">
      <x:c r="A125" s="88"/>
      <x:c r="B125" s="85"/>
      <x:c r="C125" s="85"/>
      <x:c r="D125" s="85"/>
      <x:c r="E125" s="90"/>
      <x:c r="F125" s="90"/>
      <x:c r="G125" s="90"/>
      <x:c r="H125" s="85"/>
      <x:c r="I125" s="85"/>
      <x:c r="J125" s="85"/>
      <x:c r="K125" s="85"/>
    </x:row>
    <x:row r="126">
      <x:c r="A126" s="88"/>
      <x:c r="B126" s="85"/>
      <x:c r="C126" s="85"/>
      <x:c r="D126" s="85"/>
      <x:c r="E126" s="90"/>
      <x:c r="F126" s="90"/>
      <x:c r="G126" s="90"/>
      <x:c r="H126" s="85"/>
      <x:c r="I126" s="85"/>
      <x:c r="J126" s="85"/>
      <x:c r="K126" s="85"/>
    </x:row>
    <x:row r="127">
      <x:c r="A127" s="88"/>
      <x:c r="B127" s="85"/>
      <x:c r="C127" s="85"/>
      <x:c r="D127" s="85"/>
      <x:c r="E127" s="90"/>
      <x:c r="F127" s="90"/>
      <x:c r="G127" s="90"/>
      <x:c r="H127" s="85"/>
      <x:c r="I127" s="85"/>
      <x:c r="J127" s="85"/>
      <x:c r="K127" s="85"/>
    </x:row>
    <x:row r="128">
      <x:c r="A128" s="88"/>
      <x:c r="B128" s="85"/>
      <x:c r="C128" s="85"/>
      <x:c r="D128" s="85"/>
      <x:c r="E128" s="90"/>
      <x:c r="F128" s="90"/>
      <x:c r="G128" s="90"/>
      <x:c r="H128" s="85"/>
      <x:c r="I128" s="85"/>
      <x:c r="J128" s="85"/>
      <x:c r="K128" s="85"/>
    </x:row>
    <x:row r="129">
      <x:c r="A129" s="88"/>
      <x:c r="B129" s="85"/>
      <x:c r="C129" s="85"/>
      <x:c r="D129" s="85"/>
      <x:c r="E129" s="90"/>
      <x:c r="F129" s="90"/>
      <x:c r="G129" s="90"/>
      <x:c r="H129" s="85"/>
      <x:c r="I129" s="85"/>
      <x:c r="J129" s="85"/>
      <x:c r="K129" s="85"/>
    </x:row>
    <x:row r="130">
      <x:c r="A130" s="88"/>
      <x:c r="B130" s="85"/>
      <x:c r="C130" s="85"/>
      <x:c r="D130" s="85"/>
      <x:c r="E130" s="90"/>
      <x:c r="F130" s="90"/>
      <x:c r="G130" s="90"/>
      <x:c r="H130" s="85"/>
      <x:c r="I130" s="85"/>
      <x:c r="J130" s="85"/>
      <x:c r="K130" s="85"/>
    </x:row>
    <x:row r="131">
      <x:c r="A131" s="88"/>
      <x:c r="B131" s="85"/>
      <x:c r="C131" s="85"/>
      <x:c r="D131" s="85"/>
      <x:c r="E131" s="90"/>
      <x:c r="F131" s="90"/>
      <x:c r="G131" s="90"/>
      <x:c r="H131" s="85"/>
      <x:c r="I131" s="85"/>
      <x:c r="J131" s="85"/>
      <x:c r="K131" s="85"/>
    </x:row>
    <x:row r="132">
      <x:c r="A132" s="88"/>
      <x:c r="B132" s="85"/>
      <x:c r="C132" s="85"/>
      <x:c r="D132" s="85"/>
      <x:c r="E132" s="90"/>
      <x:c r="F132" s="90"/>
      <x:c r="G132" s="90"/>
      <x:c r="H132" s="85"/>
      <x:c r="I132" s="85"/>
      <x:c r="J132" s="85"/>
      <x:c r="K132" s="85"/>
    </x:row>
    <x:row r="133">
      <x:c r="A133" s="88"/>
      <x:c r="B133" s="85"/>
      <x:c r="C133" s="85"/>
      <x:c r="D133" s="85"/>
      <x:c r="E133" s="90"/>
      <x:c r="F133" s="90"/>
      <x:c r="G133" s="90"/>
      <x:c r="H133" s="85"/>
      <x:c r="I133" s="85"/>
      <x:c r="J133" s="85"/>
      <x:c r="K133" s="85"/>
    </x:row>
    <x:row r="134">
      <x:c r="A134" s="88"/>
      <x:c r="B134" s="85"/>
      <x:c r="C134" s="85"/>
      <x:c r="D134" s="85"/>
      <x:c r="E134" s="90"/>
      <x:c r="F134" s="90"/>
      <x:c r="G134" s="90"/>
      <x:c r="H134" s="85"/>
      <x:c r="I134" s="85"/>
      <x:c r="J134" s="85"/>
      <x:c r="K134" s="85"/>
    </x:row>
    <x:row r="135">
      <x:c r="A135" s="88"/>
      <x:c r="B135" s="85"/>
      <x:c r="C135" s="85"/>
      <x:c r="D135" s="85"/>
      <x:c r="E135" s="90"/>
      <x:c r="F135" s="90"/>
      <x:c r="G135" s="90"/>
      <x:c r="H135" s="85"/>
      <x:c r="I135" s="85"/>
      <x:c r="J135" s="85"/>
      <x:c r="K135" s="85"/>
    </x:row>
    <x:row r="136">
      <x:c r="A136" s="88"/>
      <x:c r="B136" s="85"/>
      <x:c r="C136" s="85"/>
      <x:c r="D136" s="85"/>
      <x:c r="E136" s="90"/>
      <x:c r="F136" s="90"/>
      <x:c r="G136" s="90"/>
      <x:c r="H136" s="85"/>
      <x:c r="I136" s="85"/>
      <x:c r="J136" s="85"/>
      <x:c r="K136" s="85"/>
    </x:row>
    <x:row r="137">
      <x:c r="A137" s="88"/>
      <x:c r="B137" s="85"/>
      <x:c r="C137" s="85"/>
      <x:c r="D137" s="85"/>
      <x:c r="E137" s="90"/>
      <x:c r="F137" s="90"/>
      <x:c r="G137" s="90"/>
      <x:c r="H137" s="85"/>
      <x:c r="I137" s="85"/>
      <x:c r="J137" s="85"/>
      <x:c r="K137" s="85"/>
    </x:row>
    <x:row r="138">
      <x:c r="A138" s="88"/>
      <x:c r="B138" s="85"/>
      <x:c r="C138" s="85"/>
      <x:c r="D138" s="85"/>
      <x:c r="E138" s="90"/>
      <x:c r="F138" s="90"/>
      <x:c r="G138" s="90"/>
      <x:c r="H138" s="85"/>
      <x:c r="I138" s="85"/>
      <x:c r="J138" s="85"/>
      <x:c r="K138" s="85"/>
    </x:row>
    <x:row r="139">
      <x:c r="A139" s="88"/>
      <x:c r="B139" s="85"/>
      <x:c r="C139" s="85"/>
      <x:c r="D139" s="85"/>
      <x:c r="E139" s="90"/>
      <x:c r="F139" s="90"/>
      <x:c r="G139" s="90"/>
      <x:c r="H139" s="85"/>
      <x:c r="I139" s="85"/>
      <x:c r="J139" s="85"/>
      <x:c r="K139" s="85"/>
    </x:row>
    <x:row r="140">
      <x:c r="A140" s="88"/>
      <x:c r="B140" s="85"/>
      <x:c r="C140" s="85"/>
      <x:c r="D140" s="85"/>
      <x:c r="E140" s="90"/>
      <x:c r="F140" s="90"/>
      <x:c r="G140" s="90"/>
      <x:c r="H140" s="85"/>
      <x:c r="I140" s="85"/>
      <x:c r="J140" s="85"/>
      <x:c r="K140" s="85"/>
    </x:row>
    <x:row r="141">
      <x:c r="A141" s="88"/>
      <x:c r="B141" s="85"/>
      <x:c r="C141" s="85"/>
      <x:c r="D141" s="85"/>
      <x:c r="E141" s="90"/>
      <x:c r="F141" s="90"/>
      <x:c r="G141" s="90"/>
      <x:c r="H141" s="85"/>
      <x:c r="I141" s="85"/>
      <x:c r="J141" s="85"/>
      <x:c r="K141" s="85"/>
    </x:row>
    <x:row r="142">
      <x:c r="A142" s="88"/>
      <x:c r="B142" s="85"/>
      <x:c r="C142" s="85"/>
      <x:c r="D142" s="85"/>
      <x:c r="E142" s="90"/>
      <x:c r="F142" s="90"/>
      <x:c r="G142" s="90"/>
      <x:c r="H142" s="85"/>
      <x:c r="I142" s="85"/>
      <x:c r="J142" s="85"/>
      <x:c r="K142" s="85"/>
    </x:row>
    <x:row r="143">
      <x:c r="A143" s="88"/>
      <x:c r="B143" s="85"/>
      <x:c r="C143" s="85"/>
      <x:c r="D143" s="85"/>
      <x:c r="E143" s="90"/>
      <x:c r="F143" s="90"/>
      <x:c r="G143" s="90"/>
      <x:c r="H143" s="85"/>
      <x:c r="I143" s="85"/>
      <x:c r="J143" s="85"/>
      <x:c r="K143" s="85"/>
    </x:row>
    <x:row r="144">
      <x:c r="A144" s="88"/>
      <x:c r="B144" s="85"/>
      <x:c r="C144" s="85"/>
      <x:c r="D144" s="85"/>
      <x:c r="E144" s="90"/>
      <x:c r="F144" s="90"/>
      <x:c r="G144" s="90"/>
      <x:c r="H144" s="85"/>
      <x:c r="I144" s="85"/>
      <x:c r="J144" s="85"/>
      <x:c r="K144" s="85"/>
    </x:row>
    <x:row r="145">
      <x:c r="A145" s="88"/>
      <x:c r="B145" s="85"/>
      <x:c r="C145" s="85"/>
      <x:c r="D145" s="85"/>
      <x:c r="E145" s="90"/>
      <x:c r="F145" s="90"/>
      <x:c r="G145" s="90"/>
      <x:c r="H145" s="85"/>
      <x:c r="I145" s="85"/>
      <x:c r="J145" s="85"/>
      <x:c r="K145" s="85"/>
    </x:row>
    <x:row r="146">
      <x:c r="A146" s="88"/>
      <x:c r="B146" s="85"/>
      <x:c r="C146" s="85"/>
      <x:c r="D146" s="85"/>
      <x:c r="E146" s="90"/>
      <x:c r="F146" s="90"/>
      <x:c r="G146" s="90"/>
      <x:c r="H146" s="85"/>
      <x:c r="I146" s="85"/>
      <x:c r="J146" s="85"/>
      <x:c r="K146" s="85"/>
    </x:row>
    <x:row r="147">
      <x:c r="A147" s="88"/>
      <x:c r="B147" s="85"/>
      <x:c r="C147" s="85"/>
      <x:c r="D147" s="85"/>
      <x:c r="E147" s="90"/>
      <x:c r="F147" s="90"/>
      <x:c r="G147" s="90"/>
      <x:c r="H147" s="85"/>
      <x:c r="I147" s="85"/>
      <x:c r="J147" s="85"/>
      <x:c r="K147" s="85"/>
    </x:row>
    <x:row r="148">
      <x:c r="A148" s="88"/>
      <x:c r="B148" s="85"/>
      <x:c r="C148" s="85"/>
      <x:c r="D148" s="85"/>
      <x:c r="E148" s="90"/>
      <x:c r="F148" s="90"/>
      <x:c r="G148" s="90"/>
      <x:c r="H148" s="85"/>
      <x:c r="I148" s="85"/>
      <x:c r="J148" s="85"/>
      <x:c r="K148" s="85"/>
    </x:row>
    <x:row r="149">
      <x:c r="A149" s="88"/>
      <x:c r="B149" s="85"/>
      <x:c r="C149" s="85"/>
      <x:c r="D149" s="85"/>
      <x:c r="E149" s="90"/>
      <x:c r="F149" s="90"/>
      <x:c r="G149" s="90"/>
      <x:c r="H149" s="85"/>
      <x:c r="I149" s="85"/>
      <x:c r="J149" s="85"/>
      <x:c r="K149" s="85"/>
    </x:row>
    <x:row r="150">
      <x:c r="A150" s="88"/>
      <x:c r="B150" s="85"/>
      <x:c r="C150" s="85"/>
      <x:c r="D150" s="85"/>
      <x:c r="E150" s="90"/>
      <x:c r="F150" s="90"/>
      <x:c r="G150" s="90"/>
      <x:c r="H150" s="85"/>
      <x:c r="I150" s="85"/>
      <x:c r="J150" s="85"/>
      <x:c r="K150" s="85"/>
    </x:row>
    <x:row r="151">
      <x:c r="A151" s="88"/>
      <x:c r="B151" s="85"/>
      <x:c r="C151" s="85"/>
      <x:c r="D151" s="85"/>
      <x:c r="E151" s="90"/>
      <x:c r="F151" s="90"/>
      <x:c r="G151" s="90"/>
      <x:c r="H151" s="85"/>
      <x:c r="I151" s="85"/>
      <x:c r="J151" s="85"/>
      <x:c r="K151" s="85"/>
    </x:row>
    <x:row r="152">
      <x:c r="A152" s="88"/>
      <x:c r="B152" s="85"/>
      <x:c r="C152" s="85"/>
      <x:c r="D152" s="85"/>
      <x:c r="E152" s="90"/>
      <x:c r="F152" s="90"/>
      <x:c r="G152" s="90"/>
      <x:c r="H152" s="85"/>
      <x:c r="I152" s="85"/>
      <x:c r="J152" s="85"/>
      <x:c r="K152" s="85"/>
    </x:row>
    <x:row r="153">
      <x:c r="A153" s="88"/>
      <x:c r="B153" s="85"/>
      <x:c r="C153" s="85"/>
      <x:c r="D153" s="85"/>
      <x:c r="E153" s="90"/>
      <x:c r="F153" s="90"/>
      <x:c r="G153" s="90"/>
      <x:c r="H153" s="85"/>
      <x:c r="I153" s="85"/>
      <x:c r="J153" s="85"/>
      <x:c r="K153" s="85"/>
    </x:row>
    <x:row r="154">
      <x:c r="A154" s="88"/>
      <x:c r="B154" s="85"/>
      <x:c r="C154" s="85"/>
      <x:c r="D154" s="85"/>
      <x:c r="E154" s="90"/>
      <x:c r="F154" s="90"/>
      <x:c r="G154" s="90"/>
      <x:c r="H154" s="85"/>
      <x:c r="I154" s="85"/>
      <x:c r="J154" s="85"/>
      <x:c r="K154" s="85"/>
    </x:row>
    <x:row r="155">
      <x:c r="A155" s="88"/>
      <x:c r="B155" s="85"/>
      <x:c r="C155" s="85"/>
      <x:c r="D155" s="85"/>
      <x:c r="E155" s="90"/>
      <x:c r="F155" s="90"/>
      <x:c r="G155" s="90"/>
      <x:c r="H155" s="85"/>
      <x:c r="I155" s="85"/>
      <x:c r="J155" s="85"/>
      <x:c r="K155" s="85"/>
    </x:row>
    <x:row r="156">
      <x:c r="A156" s="88"/>
      <x:c r="B156" s="85"/>
      <x:c r="C156" s="85"/>
      <x:c r="D156" s="85"/>
      <x:c r="E156" s="90"/>
      <x:c r="F156" s="90"/>
      <x:c r="G156" s="90"/>
      <x:c r="H156" s="85"/>
      <x:c r="I156" s="85"/>
      <x:c r="J156" s="85"/>
      <x:c r="K156" s="85"/>
    </x:row>
    <x:row r="157">
      <x:c r="A157" s="88"/>
      <x:c r="B157" s="85"/>
      <x:c r="C157" s="85"/>
      <x:c r="D157" s="85"/>
      <x:c r="E157" s="90"/>
      <x:c r="F157" s="90"/>
      <x:c r="G157" s="90"/>
      <x:c r="H157" s="85"/>
      <x:c r="I157" s="85"/>
      <x:c r="J157" s="85"/>
      <x:c r="K157" s="85"/>
    </x:row>
    <x:row r="158">
      <x:c r="A158" s="88"/>
      <x:c r="B158" s="85"/>
      <x:c r="C158" s="85"/>
      <x:c r="D158" s="85"/>
      <x:c r="E158" s="90"/>
      <x:c r="F158" s="90"/>
      <x:c r="G158" s="90"/>
      <x:c r="H158" s="85"/>
      <x:c r="I158" s="85"/>
      <x:c r="J158" s="85"/>
      <x:c r="K158" s="85"/>
    </x:row>
    <x:row r="159">
      <x:c r="A159" s="88"/>
      <x:c r="B159" s="85"/>
      <x:c r="C159" s="85"/>
      <x:c r="D159" s="85"/>
      <x:c r="E159" s="90"/>
      <x:c r="F159" s="90"/>
      <x:c r="G159" s="90"/>
      <x:c r="H159" s="85"/>
      <x:c r="I159" s="85"/>
      <x:c r="J159" s="85"/>
      <x:c r="K159" s="85"/>
    </x:row>
    <x:row r="160">
      <x:c r="A160" s="88"/>
      <x:c r="B160" s="85"/>
      <x:c r="C160" s="85"/>
      <x:c r="D160" s="85"/>
      <x:c r="E160" s="90"/>
      <x:c r="F160" s="90"/>
      <x:c r="G160" s="90"/>
      <x:c r="H160" s="85"/>
      <x:c r="I160" s="85"/>
      <x:c r="J160" s="85"/>
      <x:c r="K160" s="85"/>
    </x:row>
    <x:row r="161">
      <x:c r="A161" s="88"/>
      <x:c r="B161" s="85"/>
      <x:c r="C161" s="85"/>
      <x:c r="D161" s="85"/>
      <x:c r="E161" s="90"/>
      <x:c r="F161" s="90"/>
      <x:c r="G161" s="90"/>
      <x:c r="H161" s="85"/>
      <x:c r="I161" s="85"/>
      <x:c r="J161" s="85"/>
      <x:c r="K161" s="85"/>
    </x:row>
    <x:row r="162">
      <x:c r="A162" s="88"/>
      <x:c r="B162" s="85"/>
      <x:c r="C162" s="85"/>
      <x:c r="D162" s="85"/>
      <x:c r="E162" s="90"/>
      <x:c r="F162" s="90"/>
      <x:c r="G162" s="90"/>
      <x:c r="H162" s="85"/>
      <x:c r="I162" s="85"/>
      <x:c r="J162" s="85"/>
      <x:c r="K162" s="85"/>
    </x:row>
    <x:row r="163">
      <x:c r="A163" s="88"/>
      <x:c r="B163" s="85"/>
      <x:c r="C163" s="85"/>
      <x:c r="D163" s="85"/>
      <x:c r="E163" s="90"/>
      <x:c r="F163" s="90"/>
      <x:c r="G163" s="90"/>
      <x:c r="H163" s="85"/>
      <x:c r="I163" s="85"/>
      <x:c r="J163" s="85"/>
      <x:c r="K163" s="85"/>
    </x:row>
    <x:row r="164">
      <x:c r="A164" s="88"/>
      <x:c r="B164" s="85"/>
      <x:c r="C164" s="85"/>
      <x:c r="D164" s="85"/>
      <x:c r="E164" s="90"/>
      <x:c r="F164" s="90"/>
      <x:c r="G164" s="90"/>
      <x:c r="H164" s="85"/>
      <x:c r="I164" s="85"/>
      <x:c r="J164" s="85"/>
      <x:c r="K164" s="85"/>
    </x:row>
    <x:row r="165">
      <x:c r="A165" s="88"/>
      <x:c r="B165" s="85"/>
      <x:c r="C165" s="85"/>
      <x:c r="D165" s="85"/>
      <x:c r="E165" s="90"/>
      <x:c r="F165" s="90"/>
      <x:c r="G165" s="90"/>
      <x:c r="H165" s="85"/>
      <x:c r="I165" s="85"/>
      <x:c r="J165" s="85"/>
      <x:c r="K165" s="85"/>
    </x:row>
    <x:row r="166">
      <x:c r="A166" s="88"/>
      <x:c r="B166" s="85"/>
      <x:c r="C166" s="85"/>
      <x:c r="D166" s="85"/>
      <x:c r="E166" s="90"/>
      <x:c r="F166" s="90"/>
      <x:c r="G166" s="90"/>
      <x:c r="H166" s="85"/>
      <x:c r="I166" s="85"/>
      <x:c r="J166" s="85"/>
      <x:c r="K166" s="85"/>
    </x:row>
    <x:row r="167">
      <x:c r="A167" s="88"/>
      <x:c r="B167" s="85"/>
      <x:c r="C167" s="85"/>
      <x:c r="D167" s="85"/>
      <x:c r="E167" s="90"/>
      <x:c r="F167" s="90"/>
      <x:c r="G167" s="90"/>
      <x:c r="H167" s="85"/>
      <x:c r="I167" s="85"/>
      <x:c r="J167" s="85"/>
      <x:c r="K167" s="85"/>
    </x:row>
    <x:row r="168">
      <x:c r="A168" s="88"/>
      <x:c r="B168" s="85"/>
      <x:c r="C168" s="85"/>
      <x:c r="D168" s="85"/>
      <x:c r="E168" s="90"/>
      <x:c r="F168" s="90"/>
      <x:c r="G168" s="90"/>
      <x:c r="H168" s="85"/>
      <x:c r="I168" s="85"/>
      <x:c r="J168" s="85"/>
      <x:c r="K168" s="85"/>
    </x:row>
    <x:row r="169">
      <x:c r="A169" s="88"/>
      <x:c r="B169" s="85"/>
      <x:c r="C169" s="85"/>
      <x:c r="D169" s="85"/>
      <x:c r="E169" s="90"/>
      <x:c r="F169" s="90"/>
      <x:c r="G169" s="90"/>
      <x:c r="H169" s="85"/>
      <x:c r="I169" s="85"/>
      <x:c r="J169" s="85"/>
      <x:c r="K169" s="85"/>
    </x:row>
    <x:row r="170">
      <x:c r="A170" s="88"/>
      <x:c r="B170" s="85"/>
      <x:c r="C170" s="85"/>
      <x:c r="D170" s="85"/>
      <x:c r="E170" s="90"/>
      <x:c r="F170" s="90"/>
      <x:c r="G170" s="90"/>
      <x:c r="H170" s="85"/>
      <x:c r="I170" s="85"/>
      <x:c r="J170" s="85"/>
      <x:c r="K170" s="85"/>
    </x:row>
    <x:row r="171">
      <x:c r="A171" s="88"/>
      <x:c r="B171" s="85"/>
      <x:c r="C171" s="85"/>
      <x:c r="D171" s="85"/>
      <x:c r="E171" s="90"/>
      <x:c r="F171" s="90"/>
      <x:c r="G171" s="90"/>
      <x:c r="H171" s="85"/>
      <x:c r="I171" s="85"/>
      <x:c r="J171" s="85"/>
      <x:c r="K171" s="85"/>
    </x:row>
    <x:row r="172">
      <x:c r="A172" s="88"/>
      <x:c r="B172" s="85"/>
      <x:c r="C172" s="85"/>
      <x:c r="D172" s="85"/>
      <x:c r="E172" s="90"/>
      <x:c r="F172" s="90"/>
      <x:c r="G172" s="90"/>
      <x:c r="H172" s="85"/>
      <x:c r="I172" s="85"/>
      <x:c r="J172" s="85"/>
      <x:c r="K172" s="85"/>
    </x:row>
    <x:row r="173">
      <x:c r="A173" s="88"/>
      <x:c r="B173" s="85"/>
      <x:c r="C173" s="85"/>
      <x:c r="D173" s="85"/>
      <x:c r="E173" s="90"/>
      <x:c r="F173" s="90"/>
      <x:c r="G173" s="90"/>
      <x:c r="H173" s="85"/>
      <x:c r="I173" s="85"/>
      <x:c r="J173" s="85"/>
      <x:c r="K173" s="85"/>
    </x:row>
    <x:row r="174">
      <x:c r="A174" s="88"/>
      <x:c r="B174" s="85"/>
      <x:c r="C174" s="85"/>
      <x:c r="D174" s="85"/>
      <x:c r="E174" s="90"/>
      <x:c r="F174" s="90"/>
      <x:c r="G174" s="90"/>
      <x:c r="H174" s="85"/>
      <x:c r="I174" s="85"/>
      <x:c r="J174" s="85"/>
      <x:c r="K174" s="85"/>
    </x:row>
    <x:row r="175">
      <x:c r="A175" s="88"/>
      <x:c r="B175" s="85"/>
      <x:c r="C175" s="85"/>
      <x:c r="D175" s="85"/>
      <x:c r="E175" s="90"/>
      <x:c r="F175" s="90"/>
      <x:c r="G175" s="90"/>
      <x:c r="H175" s="85"/>
      <x:c r="I175" s="85"/>
      <x:c r="J175" s="85"/>
      <x:c r="K175" s="85"/>
    </x:row>
    <x:row r="176">
      <x:c r="A176" s="88"/>
      <x:c r="B176" s="85"/>
      <x:c r="C176" s="85"/>
      <x:c r="D176" s="85"/>
      <x:c r="E176" s="90"/>
      <x:c r="F176" s="90"/>
      <x:c r="G176" s="90"/>
      <x:c r="H176" s="85"/>
      <x:c r="I176" s="85"/>
      <x:c r="J176" s="85"/>
      <x:c r="K176" s="85"/>
    </x:row>
    <x:row r="177">
      <x:c r="A177" s="88"/>
      <x:c r="B177" s="85"/>
      <x:c r="C177" s="85"/>
      <x:c r="D177" s="85"/>
      <x:c r="E177" s="90"/>
      <x:c r="F177" s="90"/>
      <x:c r="G177" s="90"/>
      <x:c r="H177" s="85"/>
      <x:c r="I177" s="85"/>
      <x:c r="J177" s="85"/>
      <x:c r="K177" s="85"/>
    </x:row>
    <x:row r="178">
      <x:c r="A178" s="88"/>
      <x:c r="B178" s="85"/>
      <x:c r="C178" s="85"/>
      <x:c r="D178" s="85"/>
      <x:c r="E178" s="90"/>
      <x:c r="F178" s="90"/>
      <x:c r="G178" s="90"/>
      <x:c r="H178" s="85"/>
      <x:c r="I178" s="85"/>
      <x:c r="J178" s="85"/>
      <x:c r="K178" s="85"/>
    </x:row>
    <x:row r="179">
      <x:c r="A179" s="88"/>
      <x:c r="B179" s="85"/>
      <x:c r="C179" s="85"/>
      <x:c r="D179" s="85"/>
      <x:c r="E179" s="90"/>
      <x:c r="F179" s="90"/>
      <x:c r="G179" s="90"/>
      <x:c r="H179" s="85"/>
      <x:c r="I179" s="85"/>
      <x:c r="J179" s="85"/>
      <x:c r="K179" s="85"/>
    </x:row>
    <x:row r="180">
      <x:c r="A180" s="88"/>
      <x:c r="B180" s="85"/>
      <x:c r="C180" s="85"/>
      <x:c r="D180" s="85"/>
      <x:c r="E180" s="90"/>
      <x:c r="F180" s="90"/>
      <x:c r="G180" s="90"/>
      <x:c r="H180" s="85"/>
      <x:c r="I180" s="85"/>
      <x:c r="J180" s="85"/>
      <x:c r="K180" s="85"/>
    </x:row>
    <x:row r="181">
      <x:c r="A181" s="88"/>
      <x:c r="B181" s="85"/>
      <x:c r="C181" s="85"/>
      <x:c r="D181" s="85"/>
      <x:c r="E181" s="90"/>
      <x:c r="F181" s="90"/>
      <x:c r="G181" s="90"/>
      <x:c r="H181" s="85"/>
      <x:c r="I181" s="85"/>
      <x:c r="J181" s="85"/>
      <x:c r="K181" s="85"/>
    </x:row>
    <x:row r="182">
      <x:c r="A182" s="88"/>
      <x:c r="B182" s="85"/>
      <x:c r="C182" s="85"/>
      <x:c r="D182" s="85"/>
      <x:c r="E182" s="90"/>
      <x:c r="F182" s="90"/>
      <x:c r="G182" s="90"/>
      <x:c r="H182" s="85"/>
      <x:c r="I182" s="85"/>
      <x:c r="J182" s="85"/>
      <x:c r="K182" s="85"/>
    </x:row>
    <x:row r="183">
      <x:c r="A183" s="88"/>
      <x:c r="B183" s="85"/>
      <x:c r="C183" s="85"/>
      <x:c r="D183" s="85"/>
      <x:c r="E183" s="90"/>
      <x:c r="F183" s="90"/>
      <x:c r="G183" s="90"/>
      <x:c r="H183" s="85"/>
      <x:c r="I183" s="85"/>
      <x:c r="J183" s="85"/>
      <x:c r="K183" s="85"/>
    </x:row>
    <x:row r="184">
      <x:c r="A184" s="88"/>
      <x:c r="B184" s="85"/>
      <x:c r="C184" s="85"/>
      <x:c r="D184" s="85"/>
      <x:c r="E184" s="90"/>
      <x:c r="F184" s="90"/>
      <x:c r="G184" s="90"/>
      <x:c r="H184" s="85"/>
      <x:c r="I184" s="85"/>
      <x:c r="J184" s="85"/>
      <x:c r="K184" s="85"/>
    </x:row>
    <x:row r="185">
      <x:c r="A185" s="88"/>
      <x:c r="B185" s="85"/>
      <x:c r="C185" s="85"/>
      <x:c r="D185" s="85"/>
      <x:c r="E185" s="90"/>
      <x:c r="F185" s="90"/>
      <x:c r="G185" s="90"/>
      <x:c r="H185" s="85"/>
      <x:c r="I185" s="85"/>
      <x:c r="J185" s="85"/>
      <x:c r="K185" s="85"/>
    </x:row>
    <x:row r="186">
      <x:c r="A186" s="88"/>
      <x:c r="B186" s="85"/>
      <x:c r="C186" s="85"/>
      <x:c r="D186" s="85"/>
      <x:c r="E186" s="90"/>
      <x:c r="F186" s="90"/>
      <x:c r="G186" s="90"/>
      <x:c r="H186" s="85"/>
      <x:c r="I186" s="85"/>
      <x:c r="J186" s="85"/>
      <x:c r="K186" s="85"/>
    </x:row>
    <x:row r="187">
      <x:c r="A187" s="88"/>
      <x:c r="B187" s="85"/>
      <x:c r="C187" s="85"/>
      <x:c r="D187" s="85"/>
      <x:c r="E187" s="90"/>
      <x:c r="F187" s="90"/>
      <x:c r="G187" s="90"/>
      <x:c r="H187" s="85"/>
      <x:c r="I187" s="85"/>
      <x:c r="J187" s="85"/>
      <x:c r="K187" s="85"/>
    </x:row>
    <x:row r="188">
      <x:c r="A188" s="88"/>
      <x:c r="B188" s="85"/>
      <x:c r="C188" s="85"/>
      <x:c r="D188" s="85"/>
      <x:c r="E188" s="90"/>
      <x:c r="F188" s="90"/>
      <x:c r="G188" s="90"/>
      <x:c r="H188" s="85"/>
      <x:c r="I188" s="85"/>
      <x:c r="J188" s="85"/>
      <x:c r="K188" s="85"/>
    </x:row>
    <x:row r="189">
      <x:c r="A189" s="88"/>
      <x:c r="B189" s="85"/>
      <x:c r="C189" s="85"/>
      <x:c r="D189" s="85"/>
      <x:c r="E189" s="90"/>
      <x:c r="F189" s="90"/>
      <x:c r="G189" s="90"/>
      <x:c r="H189" s="85"/>
      <x:c r="I189" s="85"/>
      <x:c r="J189" s="85"/>
      <x:c r="K189" s="85"/>
    </x:row>
    <x:row r="190">
      <x:c r="A190" s="88"/>
      <x:c r="B190" s="85"/>
      <x:c r="C190" s="85"/>
      <x:c r="D190" s="85"/>
      <x:c r="E190" s="90"/>
      <x:c r="F190" s="90"/>
      <x:c r="G190" s="90"/>
      <x:c r="H190" s="85"/>
      <x:c r="I190" s="85"/>
      <x:c r="J190" s="85"/>
      <x:c r="K190" s="85"/>
    </x:row>
    <x:row r="191">
      <x:c r="A191" s="88"/>
      <x:c r="B191" s="85"/>
      <x:c r="C191" s="85"/>
      <x:c r="D191" s="85"/>
      <x:c r="E191" s="90"/>
      <x:c r="F191" s="90"/>
      <x:c r="G191" s="90"/>
      <x:c r="H191" s="85"/>
      <x:c r="I191" s="85"/>
      <x:c r="J191" s="85"/>
      <x:c r="K191" s="85"/>
    </x:row>
    <x:row r="192">
      <x:c r="A192" s="88"/>
      <x:c r="B192" s="85"/>
      <x:c r="C192" s="85"/>
      <x:c r="D192" s="85"/>
      <x:c r="E192" s="90"/>
      <x:c r="F192" s="90"/>
      <x:c r="G192" s="90"/>
      <x:c r="H192" s="85"/>
      <x:c r="I192" s="85"/>
      <x:c r="J192" s="85"/>
      <x:c r="K192" s="85"/>
    </x:row>
    <x:row r="193">
      <x:c r="A193" s="88"/>
      <x:c r="B193" s="85"/>
      <x:c r="C193" s="85"/>
      <x:c r="D193" s="85"/>
      <x:c r="E193" s="90"/>
      <x:c r="F193" s="90"/>
      <x:c r="G193" s="90"/>
      <x:c r="H193" s="85"/>
      <x:c r="I193" s="85"/>
      <x:c r="J193" s="85"/>
      <x:c r="K193" s="85"/>
    </x:row>
    <x:row r="194">
      <x:c r="A194" s="88"/>
      <x:c r="B194" s="85"/>
      <x:c r="C194" s="85"/>
      <x:c r="D194" s="85"/>
      <x:c r="E194" s="90"/>
      <x:c r="F194" s="90"/>
      <x:c r="G194" s="90"/>
      <x:c r="H194" s="85"/>
      <x:c r="I194" s="85"/>
      <x:c r="J194" s="85"/>
      <x:c r="K194" s="85"/>
    </x:row>
    <x:row r="195">
      <x:c r="A195" s="88"/>
      <x:c r="B195" s="85"/>
      <x:c r="C195" s="85"/>
      <x:c r="D195" s="85"/>
      <x:c r="E195" s="90"/>
      <x:c r="F195" s="90"/>
      <x:c r="G195" s="90"/>
      <x:c r="H195" s="85"/>
      <x:c r="I195" s="85"/>
      <x:c r="J195" s="85"/>
      <x:c r="K195" s="85"/>
    </x:row>
    <x:row r="196">
      <x:c r="A196" s="88"/>
      <x:c r="B196" s="85"/>
      <x:c r="C196" s="85"/>
      <x:c r="D196" s="85"/>
      <x:c r="E196" s="90"/>
      <x:c r="F196" s="90"/>
      <x:c r="G196" s="90"/>
      <x:c r="H196" s="85"/>
      <x:c r="I196" s="85"/>
      <x:c r="J196" s="85"/>
      <x:c r="K196" s="85"/>
    </x:row>
    <x:row r="197">
      <x:c r="A197" s="88"/>
      <x:c r="B197" s="85"/>
      <x:c r="C197" s="85"/>
      <x:c r="D197" s="85"/>
      <x:c r="E197" s="90"/>
      <x:c r="F197" s="90"/>
      <x:c r="G197" s="90"/>
      <x:c r="H197" s="85"/>
      <x:c r="I197" s="85"/>
      <x:c r="J197" s="85"/>
      <x:c r="K197" s="85"/>
    </x:row>
    <x:row r="198">
      <x:c r="A198" s="88"/>
      <x:c r="B198" s="85"/>
      <x:c r="C198" s="85"/>
      <x:c r="D198" s="85"/>
      <x:c r="E198" s="90"/>
      <x:c r="F198" s="90"/>
      <x:c r="G198" s="90"/>
      <x:c r="H198" s="85"/>
      <x:c r="I198" s="85"/>
      <x:c r="J198" s="85"/>
      <x:c r="K198" s="85"/>
    </x:row>
    <x:row r="199">
      <x:c r="A199" s="88"/>
      <x:c r="B199" s="85"/>
      <x:c r="C199" s="85"/>
      <x:c r="D199" s="85"/>
      <x:c r="E199" s="90"/>
      <x:c r="F199" s="90"/>
      <x:c r="G199" s="90"/>
      <x:c r="H199" s="85"/>
      <x:c r="I199" s="85"/>
      <x:c r="J199" s="85"/>
      <x:c r="K199" s="85"/>
    </x:row>
    <x:row r="200">
      <x:c r="A200" s="88"/>
      <x:c r="B200" s="85"/>
      <x:c r="C200" s="85"/>
      <x:c r="D200" s="85"/>
      <x:c r="E200" s="90"/>
      <x:c r="F200" s="90"/>
      <x:c r="G200" s="90"/>
      <x:c r="H200" s="85"/>
      <x:c r="I200" s="85"/>
      <x:c r="J200" s="85"/>
      <x:c r="K200" s="85"/>
    </x:row>
    <x:row r="201">
      <x:c r="A201" s="88"/>
      <x:c r="B201" s="85"/>
      <x:c r="C201" s="85"/>
      <x:c r="D201" s="85"/>
      <x:c r="E201" s="90"/>
      <x:c r="F201" s="90"/>
      <x:c r="G201" s="90"/>
      <x:c r="H201" s="85"/>
      <x:c r="I201" s="85"/>
      <x:c r="J201" s="85"/>
      <x:c r="K201" s="85"/>
    </x:row>
    <x:row r="202">
      <x:c r="A202" s="88"/>
      <x:c r="B202" s="85"/>
      <x:c r="C202" s="85"/>
      <x:c r="D202" s="85"/>
      <x:c r="E202" s="90"/>
      <x:c r="F202" s="90"/>
      <x:c r="G202" s="90"/>
      <x:c r="H202" s="85"/>
      <x:c r="I202" s="85"/>
      <x:c r="J202" s="85"/>
      <x:c r="K202" s="85"/>
    </x:row>
    <x:row r="203">
      <x:c r="A203" s="88"/>
      <x:c r="B203" s="85"/>
      <x:c r="C203" s="85"/>
      <x:c r="D203" s="85"/>
      <x:c r="E203" s="90"/>
      <x:c r="F203" s="90"/>
      <x:c r="G203" s="90"/>
      <x:c r="H203" s="85"/>
      <x:c r="I203" s="85"/>
      <x:c r="J203" s="85"/>
      <x:c r="K203" s="85"/>
    </x:row>
    <x:row r="204">
      <x:c r="A204" s="88"/>
      <x:c r="B204" s="85"/>
      <x:c r="C204" s="85"/>
      <x:c r="D204" s="85"/>
      <x:c r="E204" s="90"/>
      <x:c r="F204" s="90"/>
      <x:c r="G204" s="90"/>
      <x:c r="H204" s="85"/>
      <x:c r="I204" s="85"/>
      <x:c r="J204" s="85"/>
      <x:c r="K204" s="85"/>
    </x:row>
    <x:row r="205">
      <x:c r="A205" s="88"/>
      <x:c r="B205" s="85"/>
      <x:c r="C205" s="85"/>
      <x:c r="D205" s="85"/>
      <x:c r="E205" s="90"/>
      <x:c r="F205" s="90"/>
      <x:c r="G205" s="90"/>
      <x:c r="H205" s="85"/>
      <x:c r="I205" s="85"/>
      <x:c r="J205" s="85"/>
      <x:c r="K205" s="85"/>
    </x:row>
    <x:row r="206">
      <x:c r="A206" s="88"/>
      <x:c r="B206" s="85"/>
      <x:c r="C206" s="85"/>
      <x:c r="D206" s="85"/>
      <x:c r="E206" s="90"/>
      <x:c r="F206" s="90"/>
      <x:c r="G206" s="90"/>
      <x:c r="H206" s="85"/>
      <x:c r="I206" s="85"/>
      <x:c r="J206" s="85"/>
      <x:c r="K206" s="85"/>
    </x:row>
    <x:row r="207">
      <x:c r="A207" s="88"/>
      <x:c r="B207" s="85"/>
      <x:c r="C207" s="85"/>
      <x:c r="D207" s="85"/>
      <x:c r="E207" s="90"/>
      <x:c r="F207" s="90"/>
      <x:c r="G207" s="90"/>
      <x:c r="H207" s="85"/>
      <x:c r="I207" s="85"/>
      <x:c r="J207" s="85"/>
      <x:c r="K207" s="85"/>
    </x:row>
    <x:row r="208">
      <x:c r="A208" s="88"/>
      <x:c r="B208" s="85"/>
      <x:c r="C208" s="85"/>
      <x:c r="D208" s="85"/>
      <x:c r="E208" s="90"/>
      <x:c r="F208" s="90"/>
      <x:c r="G208" s="90"/>
      <x:c r="H208" s="85"/>
      <x:c r="I208" s="85"/>
      <x:c r="J208" s="85"/>
      <x:c r="K208" s="85"/>
    </x:row>
    <x:row r="209">
      <x:c r="A209" s="88"/>
      <x:c r="B209" s="85"/>
      <x:c r="C209" s="85"/>
      <x:c r="D209" s="85"/>
      <x:c r="E209" s="90"/>
      <x:c r="F209" s="90"/>
      <x:c r="G209" s="90"/>
      <x:c r="H209" s="85"/>
      <x:c r="I209" s="85"/>
      <x:c r="J209" s="85"/>
      <x:c r="K209" s="85"/>
    </x:row>
    <x:row r="210">
      <x:c r="A210" s="88"/>
      <x:c r="B210" s="85"/>
      <x:c r="C210" s="85"/>
      <x:c r="D210" s="85"/>
      <x:c r="E210" s="90"/>
      <x:c r="F210" s="90"/>
      <x:c r="G210" s="90"/>
      <x:c r="H210" s="85"/>
      <x:c r="I210" s="85"/>
      <x:c r="J210" s="85"/>
      <x:c r="K210" s="85"/>
    </x:row>
    <x:row r="211">
      <x:c r="A211" s="88"/>
      <x:c r="B211" s="85"/>
      <x:c r="C211" s="85"/>
      <x:c r="D211" s="85"/>
      <x:c r="E211" s="90"/>
      <x:c r="F211" s="90"/>
      <x:c r="G211" s="90"/>
      <x:c r="H211" s="85"/>
      <x:c r="I211" s="85"/>
      <x:c r="J211" s="85"/>
      <x:c r="K211" s="85"/>
    </x:row>
    <x:row r="212">
      <x:c r="A212" s="88"/>
      <x:c r="B212" s="85"/>
      <x:c r="C212" s="85"/>
      <x:c r="D212" s="85"/>
      <x:c r="E212" s="90"/>
      <x:c r="F212" s="90"/>
      <x:c r="G212" s="90"/>
      <x:c r="H212" s="85"/>
      <x:c r="I212" s="85"/>
      <x:c r="J212" s="85"/>
      <x:c r="K212" s="85"/>
    </x:row>
    <x:row r="213">
      <x:c r="A213" s="88"/>
      <x:c r="B213" s="85"/>
      <x:c r="C213" s="85"/>
      <x:c r="D213" s="85"/>
      <x:c r="E213" s="90"/>
      <x:c r="F213" s="90"/>
      <x:c r="G213" s="90"/>
      <x:c r="H213" s="85"/>
      <x:c r="I213" s="85"/>
      <x:c r="J213" s="85"/>
      <x:c r="K213" s="85"/>
    </x:row>
    <x:row r="214">
      <x:c r="A214" s="88"/>
      <x:c r="B214" s="85"/>
      <x:c r="C214" s="85"/>
      <x:c r="D214" s="85"/>
      <x:c r="E214" s="90"/>
      <x:c r="F214" s="90"/>
      <x:c r="G214" s="90"/>
      <x:c r="H214" s="85"/>
      <x:c r="I214" s="85"/>
      <x:c r="J214" s="85"/>
      <x:c r="K214" s="85"/>
    </x:row>
    <x:row r="215">
      <x:c r="A215" s="88"/>
      <x:c r="B215" s="85"/>
      <x:c r="C215" s="85"/>
      <x:c r="D215" s="85"/>
      <x:c r="E215" s="90"/>
      <x:c r="F215" s="90"/>
      <x:c r="G215" s="90"/>
      <x:c r="H215" s="85"/>
      <x:c r="I215" s="85"/>
      <x:c r="J215" s="85"/>
      <x:c r="K215" s="85"/>
    </x:row>
    <x:row r="216">
      <x:c r="A216" s="88"/>
      <x:c r="B216" s="85"/>
      <x:c r="C216" s="85"/>
      <x:c r="D216" s="85"/>
      <x:c r="E216" s="90"/>
      <x:c r="F216" s="90"/>
      <x:c r="G216" s="90"/>
      <x:c r="H216" s="85"/>
      <x:c r="I216" s="85"/>
      <x:c r="J216" s="85"/>
      <x:c r="K216" s="85"/>
    </x:row>
    <x:row r="217">
      <x:c r="A217" s="88"/>
      <x:c r="B217" s="85"/>
      <x:c r="C217" s="85"/>
      <x:c r="D217" s="85"/>
      <x:c r="E217" s="90"/>
      <x:c r="F217" s="90"/>
      <x:c r="G217" s="90"/>
      <x:c r="H217" s="85"/>
      <x:c r="I217" s="85"/>
      <x:c r="J217" s="85"/>
      <x:c r="K217" s="85"/>
    </x:row>
    <x:row r="218">
      <x:c r="A218" s="88"/>
      <x:c r="B218" s="85"/>
      <x:c r="C218" s="85"/>
      <x:c r="D218" s="85"/>
      <x:c r="E218" s="90"/>
      <x:c r="F218" s="90"/>
      <x:c r="G218" s="90"/>
      <x:c r="H218" s="85"/>
      <x:c r="I218" s="85"/>
      <x:c r="J218" s="85"/>
      <x:c r="K218" s="85"/>
    </x:row>
    <x:row r="219">
      <x:c r="A219" s="88"/>
      <x:c r="B219" s="85"/>
      <x:c r="C219" s="85"/>
      <x:c r="D219" s="85"/>
      <x:c r="E219" s="90"/>
      <x:c r="F219" s="90"/>
      <x:c r="G219" s="90"/>
      <x:c r="H219" s="85"/>
      <x:c r="I219" s="85"/>
      <x:c r="J219" s="85"/>
      <x:c r="K219" s="85"/>
    </x:row>
    <x:row r="220">
      <x:c r="A220" s="88"/>
      <x:c r="B220" s="85"/>
      <x:c r="C220" s="85"/>
      <x:c r="D220" s="85"/>
      <x:c r="E220" s="90"/>
      <x:c r="F220" s="90"/>
      <x:c r="G220" s="90"/>
      <x:c r="H220" s="85"/>
      <x:c r="I220" s="85"/>
      <x:c r="J220" s="85"/>
      <x:c r="K220" s="85"/>
    </x:row>
    <x:row r="221">
      <x:c r="A221" s="88"/>
      <x:c r="B221" s="85"/>
      <x:c r="C221" s="85"/>
      <x:c r="D221" s="85"/>
      <x:c r="E221" s="90"/>
      <x:c r="F221" s="90"/>
      <x:c r="G221" s="90"/>
      <x:c r="H221" s="85"/>
      <x:c r="I221" s="85"/>
      <x:c r="J221" s="85"/>
      <x:c r="K221" s="85"/>
    </x:row>
    <x:row r="222">
      <x:c r="A222" s="88"/>
      <x:c r="B222" s="85"/>
      <x:c r="C222" s="85"/>
      <x:c r="D222" s="85"/>
      <x:c r="E222" s="90"/>
      <x:c r="F222" s="90"/>
      <x:c r="G222" s="90"/>
      <x:c r="H222" s="85"/>
      <x:c r="I222" s="85"/>
      <x:c r="J222" s="85"/>
      <x:c r="K222" s="85"/>
    </x:row>
    <x:row r="223">
      <x:c r="A223" s="88"/>
      <x:c r="B223" s="85"/>
      <x:c r="C223" s="85"/>
      <x:c r="D223" s="85"/>
      <x:c r="E223" s="90"/>
      <x:c r="F223" s="90"/>
      <x:c r="G223" s="90"/>
      <x:c r="H223" s="85"/>
      <x:c r="I223" s="85"/>
      <x:c r="J223" s="85"/>
      <x:c r="K223" s="85"/>
    </x:row>
    <x:row r="224">
      <x:c r="A224" s="88"/>
      <x:c r="B224" s="85"/>
      <x:c r="C224" s="85"/>
      <x:c r="D224" s="85"/>
      <x:c r="E224" s="90"/>
      <x:c r="F224" s="90"/>
      <x:c r="G224" s="90"/>
      <x:c r="H224" s="85"/>
      <x:c r="I224" s="85"/>
      <x:c r="J224" s="85"/>
      <x:c r="K224" s="85"/>
    </x:row>
    <x:row r="225">
      <x:c r="A225" s="88"/>
      <x:c r="B225" s="85"/>
      <x:c r="C225" s="85"/>
      <x:c r="D225" s="85"/>
      <x:c r="E225" s="90"/>
      <x:c r="F225" s="90"/>
      <x:c r="G225" s="90"/>
      <x:c r="H225" s="85"/>
      <x:c r="I225" s="85"/>
      <x:c r="J225" s="85"/>
      <x:c r="K225" s="85"/>
    </x:row>
    <x:row r="226">
      <x:c r="A226" s="88"/>
      <x:c r="B226" s="85"/>
      <x:c r="C226" s="85"/>
      <x:c r="D226" s="85"/>
      <x:c r="E226" s="90"/>
      <x:c r="F226" s="90"/>
      <x:c r="G226" s="90"/>
      <x:c r="H226" s="85"/>
      <x:c r="I226" s="85"/>
      <x:c r="J226" s="85"/>
      <x:c r="K226" s="85"/>
    </x:row>
    <x:row r="227">
      <x:c r="A227" s="88"/>
      <x:c r="B227" s="85"/>
      <x:c r="C227" s="85"/>
      <x:c r="D227" s="85"/>
      <x:c r="E227" s="90"/>
      <x:c r="F227" s="90"/>
      <x:c r="G227" s="90"/>
      <x:c r="H227" s="85"/>
      <x:c r="I227" s="85"/>
      <x:c r="J227" s="85"/>
      <x:c r="K227" s="85"/>
    </x:row>
    <x:row r="228">
      <x:c r="A228" s="88"/>
      <x:c r="B228" s="85"/>
      <x:c r="C228" s="85"/>
      <x:c r="D228" s="85"/>
      <x:c r="E228" s="90"/>
      <x:c r="F228" s="90"/>
      <x:c r="G228" s="90"/>
      <x:c r="H228" s="85"/>
      <x:c r="I228" s="85"/>
      <x:c r="J228" s="85"/>
      <x:c r="K228" s="85"/>
    </x:row>
    <x:row r="229">
      <x:c r="A229" s="88"/>
      <x:c r="B229" s="85"/>
      <x:c r="C229" s="85"/>
      <x:c r="D229" s="85"/>
      <x:c r="E229" s="90"/>
      <x:c r="F229" s="90"/>
      <x:c r="G229" s="90"/>
      <x:c r="H229" s="85"/>
      <x:c r="I229" s="85"/>
      <x:c r="J229" s="85"/>
      <x:c r="K229" s="85"/>
    </x:row>
    <x:row r="230">
      <x:c r="A230" s="88"/>
      <x:c r="B230" s="85"/>
      <x:c r="C230" s="85"/>
      <x:c r="D230" s="85"/>
      <x:c r="E230" s="90"/>
      <x:c r="F230" s="90"/>
      <x:c r="G230" s="90"/>
      <x:c r="H230" s="85"/>
      <x:c r="I230" s="85"/>
      <x:c r="J230" s="85"/>
      <x:c r="K230" s="85"/>
    </x:row>
    <x:row r="231">
      <x:c r="A231" s="88"/>
      <x:c r="B231" s="85"/>
      <x:c r="C231" s="85"/>
      <x:c r="D231" s="85"/>
      <x:c r="E231" s="90"/>
      <x:c r="F231" s="90"/>
      <x:c r="G231" s="90"/>
      <x:c r="H231" s="85"/>
      <x:c r="I231" s="85"/>
      <x:c r="J231" s="85"/>
      <x:c r="K231" s="85"/>
    </x:row>
    <x:row r="232">
      <x:c r="A232" s="88"/>
      <x:c r="B232" s="85"/>
      <x:c r="C232" s="85"/>
      <x:c r="D232" s="85"/>
      <x:c r="E232" s="90"/>
      <x:c r="F232" s="90"/>
      <x:c r="G232" s="90"/>
      <x:c r="H232" s="85"/>
      <x:c r="I232" s="85"/>
      <x:c r="J232" s="85"/>
      <x:c r="K232" s="85"/>
    </x:row>
    <x:row r="233">
      <x:c r="A233" s="88"/>
      <x:c r="B233" s="85"/>
      <x:c r="C233" s="85"/>
      <x:c r="D233" s="85"/>
      <x:c r="E233" s="90"/>
      <x:c r="F233" s="90"/>
      <x:c r="G233" s="90"/>
      <x:c r="H233" s="85"/>
      <x:c r="I233" s="85"/>
      <x:c r="J233" s="85"/>
      <x:c r="K233" s="85"/>
    </x:row>
    <x:row r="234">
      <x:c r="A234" s="88"/>
      <x:c r="B234" s="85"/>
      <x:c r="C234" s="85"/>
      <x:c r="D234" s="85"/>
      <x:c r="E234" s="90"/>
      <x:c r="F234" s="90"/>
      <x:c r="G234" s="90"/>
      <x:c r="H234" s="85"/>
      <x:c r="I234" s="85"/>
      <x:c r="J234" s="85"/>
      <x:c r="K234" s="85"/>
    </x:row>
    <x:row r="235">
      <x:c r="A235" s="88"/>
      <x:c r="B235" s="85"/>
      <x:c r="C235" s="85"/>
      <x:c r="D235" s="85"/>
      <x:c r="E235" s="90"/>
      <x:c r="F235" s="90"/>
      <x:c r="G235" s="90"/>
      <x:c r="H235" s="85"/>
      <x:c r="I235" s="85"/>
      <x:c r="J235" s="85"/>
      <x:c r="K235" s="85"/>
    </x:row>
    <x:row r="236">
      <x:c r="A236" s="88"/>
      <x:c r="B236" s="85"/>
      <x:c r="C236" s="85"/>
      <x:c r="D236" s="85"/>
      <x:c r="E236" s="90"/>
      <x:c r="F236" s="90"/>
      <x:c r="G236" s="90"/>
      <x:c r="H236" s="85"/>
      <x:c r="I236" s="85"/>
      <x:c r="J236" s="85"/>
      <x:c r="K236" s="85"/>
    </x:row>
    <x:row r="237">
      <x:c r="A237" s="88"/>
      <x:c r="B237" s="85"/>
      <x:c r="C237" s="85"/>
      <x:c r="D237" s="85"/>
      <x:c r="E237" s="90"/>
      <x:c r="F237" s="90"/>
      <x:c r="G237" s="90"/>
      <x:c r="H237" s="85"/>
      <x:c r="I237" s="85"/>
      <x:c r="J237" s="85"/>
      <x:c r="K237" s="85"/>
    </x:row>
    <x:row r="238">
      <x:c r="A238" s="88"/>
      <x:c r="B238" s="85"/>
      <x:c r="C238" s="85"/>
      <x:c r="D238" s="85"/>
      <x:c r="E238" s="90"/>
      <x:c r="F238" s="90"/>
      <x:c r="G238" s="90"/>
      <x:c r="H238" s="85"/>
      <x:c r="I238" s="85"/>
      <x:c r="J238" s="85"/>
      <x:c r="K238" s="85"/>
    </x:row>
    <x:row r="239">
      <x:c r="A239" s="88"/>
      <x:c r="B239" s="85"/>
      <x:c r="C239" s="85"/>
      <x:c r="D239" s="85"/>
      <x:c r="E239" s="90"/>
      <x:c r="F239" s="90"/>
      <x:c r="G239" s="90"/>
      <x:c r="H239" s="85"/>
      <x:c r="I239" s="85"/>
      <x:c r="J239" s="85"/>
      <x:c r="K239" s="85"/>
    </x:row>
    <x:row r="240">
      <x:c r="A240" s="88"/>
      <x:c r="B240" s="85"/>
      <x:c r="C240" s="85"/>
      <x:c r="D240" s="85"/>
      <x:c r="E240" s="90"/>
      <x:c r="F240" s="90"/>
      <x:c r="G240" s="90"/>
      <x:c r="H240" s="85"/>
      <x:c r="I240" s="85"/>
      <x:c r="J240" s="85"/>
      <x:c r="K240" s="85"/>
    </x:row>
    <x:row r="241">
      <x:c r="A241" s="88"/>
      <x:c r="B241" s="85"/>
      <x:c r="C241" s="85"/>
      <x:c r="D241" s="85"/>
      <x:c r="E241" s="90"/>
      <x:c r="F241" s="90"/>
      <x:c r="G241" s="90"/>
      <x:c r="H241" s="85"/>
      <x:c r="I241" s="85"/>
      <x:c r="J241" s="85"/>
      <x:c r="K241" s="85"/>
    </x:row>
    <x:row r="242">
      <x:c r="A242" s="88"/>
      <x:c r="B242" s="85"/>
      <x:c r="C242" s="85"/>
      <x:c r="D242" s="85"/>
      <x:c r="E242" s="90"/>
      <x:c r="F242" s="90"/>
      <x:c r="G242" s="90"/>
      <x:c r="H242" s="85"/>
      <x:c r="I242" s="85"/>
      <x:c r="J242" s="85"/>
      <x:c r="K242" s="85"/>
    </x:row>
    <x:row r="243">
      <x:c r="A243" s="88"/>
      <x:c r="B243" s="85"/>
      <x:c r="C243" s="85"/>
      <x:c r="D243" s="85"/>
      <x:c r="E243" s="90"/>
      <x:c r="F243" s="90"/>
      <x:c r="G243" s="90"/>
      <x:c r="H243" s="85"/>
      <x:c r="I243" s="85"/>
      <x:c r="J243" s="85"/>
      <x:c r="K243" s="85"/>
    </x:row>
    <x:row r="244">
      <x:c r="A244" s="88"/>
      <x:c r="B244" s="85"/>
      <x:c r="C244" s="85"/>
      <x:c r="D244" s="85"/>
      <x:c r="E244" s="90"/>
      <x:c r="F244" s="90"/>
      <x:c r="G244" s="90"/>
      <x:c r="H244" s="85"/>
      <x:c r="I244" s="85"/>
      <x:c r="J244" s="85"/>
      <x:c r="K244" s="85"/>
    </x:row>
    <x:row r="245">
      <x:c r="A245" s="88"/>
      <x:c r="B245" s="85"/>
      <x:c r="C245" s="85"/>
      <x:c r="D245" s="85"/>
      <x:c r="E245" s="90"/>
      <x:c r="F245" s="90"/>
      <x:c r="G245" s="90"/>
      <x:c r="H245" s="85"/>
      <x:c r="I245" s="85"/>
      <x:c r="J245" s="85"/>
      <x:c r="K245" s="85"/>
    </x:row>
    <x:row r="246">
      <x:c r="A246" s="88"/>
      <x:c r="B246" s="85"/>
      <x:c r="C246" s="85"/>
      <x:c r="D246" s="85"/>
      <x:c r="E246" s="90"/>
      <x:c r="F246" s="90"/>
      <x:c r="G246" s="90"/>
      <x:c r="H246" s="85"/>
      <x:c r="I246" s="85"/>
      <x:c r="J246" s="85"/>
      <x:c r="K246" s="85"/>
    </x:row>
    <x:row r="247">
      <x:c r="A247" s="88"/>
      <x:c r="B247" s="85"/>
      <x:c r="C247" s="85"/>
      <x:c r="D247" s="85"/>
      <x:c r="E247" s="90"/>
      <x:c r="F247" s="90"/>
      <x:c r="G247" s="90"/>
      <x:c r="H247" s="85"/>
      <x:c r="I247" s="85"/>
      <x:c r="J247" s="85"/>
      <x:c r="K247" s="85"/>
    </x:row>
    <x:row r="248">
      <x:c r="A248" s="88"/>
      <x:c r="B248" s="85"/>
      <x:c r="C248" s="85"/>
      <x:c r="D248" s="85"/>
      <x:c r="E248" s="90"/>
      <x:c r="F248" s="90"/>
      <x:c r="G248" s="90"/>
      <x:c r="H248" s="85"/>
      <x:c r="I248" s="85"/>
      <x:c r="J248" s="85"/>
      <x:c r="K248" s="85"/>
    </x:row>
    <x:row r="249">
      <x:c r="A249" s="88"/>
      <x:c r="B249" s="85"/>
      <x:c r="C249" s="85"/>
      <x:c r="D249" s="85"/>
      <x:c r="E249" s="90"/>
      <x:c r="F249" s="90"/>
      <x:c r="G249" s="90"/>
      <x:c r="H249" s="85"/>
      <x:c r="I249" s="85"/>
      <x:c r="J249" s="85"/>
      <x:c r="K249" s="85"/>
    </x:row>
    <x:row r="250">
      <x:c r="A250" s="88"/>
      <x:c r="B250" s="85"/>
      <x:c r="C250" s="85"/>
      <x:c r="D250" s="85"/>
      <x:c r="E250" s="90"/>
      <x:c r="F250" s="90"/>
      <x:c r="G250" s="90"/>
      <x:c r="H250" s="85"/>
      <x:c r="I250" s="85"/>
      <x:c r="J250" s="85"/>
      <x:c r="K250" s="85"/>
    </x:row>
    <x:row r="251">
      <x:c r="A251" s="88"/>
      <x:c r="B251" s="85"/>
      <x:c r="C251" s="85"/>
      <x:c r="D251" s="85"/>
      <x:c r="E251" s="90"/>
      <x:c r="F251" s="90"/>
      <x:c r="G251" s="90"/>
      <x:c r="H251" s="85"/>
      <x:c r="I251" s="85"/>
      <x:c r="J251" s="85"/>
      <x:c r="K251" s="85"/>
    </x:row>
    <x:row r="252">
      <x:c r="A252" s="88"/>
      <x:c r="B252" s="85"/>
      <x:c r="C252" s="85"/>
      <x:c r="D252" s="85"/>
      <x:c r="E252" s="90"/>
      <x:c r="F252" s="90"/>
      <x:c r="G252" s="90"/>
      <x:c r="H252" s="85"/>
      <x:c r="I252" s="85"/>
      <x:c r="J252" s="85"/>
      <x:c r="K252" s="85"/>
    </x:row>
    <x:row r="253">
      <x:c r="A253" s="88"/>
      <x:c r="B253" s="85"/>
      <x:c r="C253" s="85"/>
      <x:c r="D253" s="85"/>
      <x:c r="E253" s="90"/>
      <x:c r="F253" s="90"/>
      <x:c r="G253" s="90"/>
      <x:c r="H253" s="85"/>
      <x:c r="I253" s="85"/>
      <x:c r="J253" s="85"/>
      <x:c r="K253" s="85"/>
    </x:row>
    <x:row r="254">
      <x:c r="A254" s="88"/>
      <x:c r="B254" s="85"/>
      <x:c r="C254" s="85"/>
      <x:c r="D254" s="85"/>
      <x:c r="E254" s="90"/>
      <x:c r="F254" s="90"/>
      <x:c r="G254" s="90"/>
      <x:c r="H254" s="85"/>
      <x:c r="I254" s="85"/>
      <x:c r="J254" s="85"/>
      <x:c r="K254" s="85"/>
    </x:row>
    <x:row r="255">
      <x:c r="A255" s="88"/>
      <x:c r="B255" s="85"/>
      <x:c r="C255" s="85"/>
      <x:c r="D255" s="85"/>
      <x:c r="E255" s="90"/>
      <x:c r="F255" s="90"/>
      <x:c r="G255" s="90"/>
      <x:c r="H255" s="85"/>
      <x:c r="I255" s="85"/>
      <x:c r="J255" s="85"/>
      <x:c r="K255" s="85"/>
    </x:row>
    <x:row r="256">
      <x:c r="A256" s="88"/>
      <x:c r="B256" s="85"/>
      <x:c r="C256" s="85"/>
      <x:c r="D256" s="85"/>
      <x:c r="E256" s="90"/>
      <x:c r="F256" s="90"/>
      <x:c r="G256" s="90"/>
      <x:c r="H256" s="85"/>
      <x:c r="I256" s="85"/>
      <x:c r="J256" s="85"/>
      <x:c r="K256" s="85"/>
    </x:row>
    <x:row r="257">
      <x:c r="A257" s="88"/>
      <x:c r="B257" s="85"/>
      <x:c r="C257" s="85"/>
      <x:c r="D257" s="85"/>
      <x:c r="E257" s="90"/>
      <x:c r="F257" s="90"/>
      <x:c r="G257" s="90"/>
      <x:c r="H257" s="85"/>
      <x:c r="I257" s="85"/>
      <x:c r="J257" s="85"/>
      <x:c r="K257" s="85"/>
    </x:row>
    <x:row r="258">
      <x:c r="A258" s="88"/>
      <x:c r="B258" s="85"/>
      <x:c r="C258" s="85"/>
      <x:c r="D258" s="85"/>
      <x:c r="E258" s="90"/>
      <x:c r="F258" s="90"/>
      <x:c r="G258" s="90"/>
      <x:c r="H258" s="85"/>
      <x:c r="I258" s="85"/>
      <x:c r="J258" s="85"/>
      <x:c r="K258" s="85"/>
    </x:row>
    <x:row r="259">
      <x:c r="A259" s="88"/>
      <x:c r="B259" s="85"/>
      <x:c r="C259" s="85"/>
      <x:c r="D259" s="85"/>
      <x:c r="E259" s="90"/>
      <x:c r="F259" s="90"/>
      <x:c r="G259" s="90"/>
      <x:c r="H259" s="85"/>
      <x:c r="I259" s="85"/>
      <x:c r="J259" s="85"/>
      <x:c r="K259" s="85"/>
    </x:row>
    <x:row r="260">
      <x:c r="A260" s="88"/>
      <x:c r="B260" s="85"/>
      <x:c r="C260" s="85"/>
      <x:c r="D260" s="85"/>
      <x:c r="E260" s="90"/>
      <x:c r="F260" s="90"/>
      <x:c r="G260" s="90"/>
      <x:c r="H260" s="85"/>
      <x:c r="I260" s="85"/>
      <x:c r="J260" s="85"/>
      <x:c r="K260" s="85"/>
    </x:row>
    <x:row r="261">
      <x:c r="A261" s="88"/>
      <x:c r="B261" s="85"/>
      <x:c r="C261" s="85"/>
      <x:c r="D261" s="85"/>
      <x:c r="E261" s="90"/>
      <x:c r="F261" s="90"/>
      <x:c r="G261" s="90"/>
      <x:c r="H261" s="85"/>
      <x:c r="I261" s="85"/>
      <x:c r="J261" s="85"/>
      <x:c r="K261" s="85"/>
    </x:row>
    <x:row r="262">
      <x:c r="A262" s="88"/>
      <x:c r="B262" s="85"/>
      <x:c r="C262" s="85"/>
      <x:c r="D262" s="85"/>
      <x:c r="E262" s="90"/>
      <x:c r="F262" s="90"/>
      <x:c r="G262" s="90"/>
      <x:c r="H262" s="85"/>
      <x:c r="I262" s="85"/>
      <x:c r="J262" s="85"/>
      <x:c r="K262" s="85"/>
    </x:row>
    <x:row r="263">
      <x:c r="A263" s="88"/>
      <x:c r="B263" s="85"/>
      <x:c r="C263" s="85"/>
      <x:c r="D263" s="85"/>
      <x:c r="E263" s="90"/>
      <x:c r="F263" s="90"/>
      <x:c r="G263" s="90"/>
      <x:c r="H263" s="85"/>
      <x:c r="I263" s="85"/>
      <x:c r="J263" s="85"/>
      <x:c r="K263" s="85"/>
    </x:row>
    <x:row r="264">
      <x:c r="A264" s="88"/>
      <x:c r="B264" s="85"/>
      <x:c r="C264" s="85"/>
      <x:c r="D264" s="85"/>
      <x:c r="E264" s="90"/>
      <x:c r="F264" s="90"/>
      <x:c r="G264" s="90"/>
      <x:c r="H264" s="85"/>
      <x:c r="I264" s="85"/>
      <x:c r="J264" s="85"/>
      <x:c r="K264" s="85"/>
    </x:row>
    <x:row r="265">
      <x:c r="A265" s="88"/>
      <x:c r="B265" s="85"/>
      <x:c r="C265" s="85"/>
      <x:c r="D265" s="85"/>
      <x:c r="E265" s="90"/>
      <x:c r="F265" s="90"/>
      <x:c r="G265" s="90"/>
      <x:c r="H265" s="85"/>
      <x:c r="I265" s="85"/>
      <x:c r="J265" s="85"/>
      <x:c r="K265" s="85"/>
    </x:row>
    <x:row r="266">
      <x:c r="A266" s="88"/>
      <x:c r="B266" s="85"/>
      <x:c r="C266" s="85"/>
      <x:c r="D266" s="85"/>
      <x:c r="E266" s="90"/>
      <x:c r="F266" s="90"/>
      <x:c r="G266" s="90"/>
      <x:c r="H266" s="85"/>
      <x:c r="I266" s="85"/>
      <x:c r="J266" s="85"/>
      <x:c r="K266" s="85"/>
    </x:row>
    <x:row r="267">
      <x:c r="A267" s="88"/>
      <x:c r="B267" s="85"/>
      <x:c r="C267" s="85"/>
      <x:c r="D267" s="85"/>
      <x:c r="E267" s="90"/>
      <x:c r="F267" s="90"/>
      <x:c r="G267" s="90"/>
      <x:c r="H267" s="85"/>
      <x:c r="I267" s="85"/>
      <x:c r="J267" s="85"/>
      <x:c r="K267" s="85"/>
    </x:row>
    <x:row r="268">
      <x:c r="A268" s="88"/>
      <x:c r="B268" s="85"/>
      <x:c r="C268" s="85"/>
      <x:c r="D268" s="85"/>
      <x:c r="E268" s="90"/>
      <x:c r="F268" s="90"/>
      <x:c r="G268" s="90"/>
      <x:c r="H268" s="85"/>
      <x:c r="I268" s="85"/>
      <x:c r="J268" s="85"/>
      <x:c r="K268" s="85"/>
    </x:row>
    <x:row r="269">
      <x:c r="A269" s="88"/>
      <x:c r="B269" s="85"/>
      <x:c r="C269" s="85"/>
      <x:c r="D269" s="85"/>
      <x:c r="E269" s="90"/>
      <x:c r="F269" s="90"/>
      <x:c r="G269" s="90"/>
      <x:c r="H269" s="85"/>
      <x:c r="I269" s="85"/>
      <x:c r="J269" s="85"/>
      <x:c r="K269" s="85"/>
    </x:row>
    <x:row r="270">
      <x:c r="A270" s="88"/>
      <x:c r="B270" s="85"/>
      <x:c r="C270" s="85"/>
      <x:c r="D270" s="85"/>
      <x:c r="E270" s="90"/>
      <x:c r="F270" s="90"/>
      <x:c r="G270" s="90"/>
      <x:c r="H270" s="85"/>
      <x:c r="I270" s="85"/>
      <x:c r="J270" s="85"/>
      <x:c r="K270" s="85"/>
    </x:row>
    <x:row r="271">
      <x:c r="A271" s="88"/>
      <x:c r="B271" s="85"/>
      <x:c r="C271" s="85"/>
      <x:c r="D271" s="85"/>
      <x:c r="E271" s="90"/>
      <x:c r="F271" s="90"/>
      <x:c r="G271" s="90"/>
      <x:c r="H271" s="85"/>
      <x:c r="I271" s="85"/>
      <x:c r="J271" s="85"/>
      <x:c r="K271" s="85"/>
    </x:row>
    <x:row r="272">
      <x:c r="A272" s="88"/>
      <x:c r="B272" s="85"/>
      <x:c r="C272" s="85"/>
      <x:c r="D272" s="85"/>
      <x:c r="E272" s="90"/>
      <x:c r="F272" s="90"/>
      <x:c r="G272" s="90"/>
      <x:c r="H272" s="85"/>
      <x:c r="I272" s="85"/>
      <x:c r="J272" s="85"/>
      <x:c r="K272" s="85"/>
    </x:row>
    <x:row r="273">
      <x:c r="A273" s="88"/>
      <x:c r="B273" s="85"/>
      <x:c r="C273" s="85"/>
      <x:c r="D273" s="85"/>
      <x:c r="E273" s="90"/>
      <x:c r="F273" s="90"/>
      <x:c r="G273" s="90"/>
      <x:c r="H273" s="85"/>
      <x:c r="I273" s="85"/>
      <x:c r="J273" s="85"/>
      <x:c r="K273" s="85"/>
    </x:row>
    <x:row r="274">
      <x:c r="A274" s="88"/>
      <x:c r="B274" s="85"/>
      <x:c r="C274" s="85"/>
      <x:c r="D274" s="85"/>
      <x:c r="E274" s="90"/>
      <x:c r="F274" s="90"/>
      <x:c r="G274" s="90"/>
      <x:c r="H274" s="85"/>
      <x:c r="I274" s="85"/>
      <x:c r="J274" s="85"/>
      <x:c r="K274" s="85"/>
    </x:row>
    <x:row r="275">
      <x:c r="A275" s="88"/>
      <x:c r="B275" s="85"/>
      <x:c r="C275" s="85"/>
      <x:c r="D275" s="85"/>
      <x:c r="E275" s="90"/>
      <x:c r="F275" s="90"/>
      <x:c r="G275" s="90"/>
      <x:c r="H275" s="85"/>
      <x:c r="I275" s="85"/>
      <x:c r="J275" s="85"/>
      <x:c r="K275" s="85"/>
    </x:row>
    <x:row r="276">
      <x:c r="A276" s="88"/>
      <x:c r="B276" s="85"/>
      <x:c r="C276" s="85"/>
      <x:c r="D276" s="85"/>
      <x:c r="E276" s="90"/>
      <x:c r="F276" s="90"/>
      <x:c r="G276" s="90"/>
      <x:c r="H276" s="85"/>
      <x:c r="I276" s="85"/>
      <x:c r="J276" s="85"/>
      <x:c r="K276" s="85"/>
    </x:row>
    <x:row r="277">
      <x:c r="A277" s="88"/>
      <x:c r="B277" s="85"/>
      <x:c r="C277" s="85"/>
      <x:c r="D277" s="85"/>
      <x:c r="E277" s="90"/>
      <x:c r="F277" s="90"/>
      <x:c r="G277" s="90"/>
      <x:c r="H277" s="85"/>
      <x:c r="I277" s="85"/>
      <x:c r="J277" s="85"/>
      <x:c r="K277" s="85"/>
    </x:row>
    <x:row r="278">
      <x:c r="A278" s="88"/>
      <x:c r="B278" s="85"/>
      <x:c r="C278" s="85"/>
      <x:c r="D278" s="85"/>
      <x:c r="E278" s="90"/>
      <x:c r="F278" s="90"/>
      <x:c r="G278" s="90"/>
      <x:c r="H278" s="85"/>
      <x:c r="I278" s="85"/>
      <x:c r="J278" s="85"/>
      <x:c r="K278" s="85"/>
    </x:row>
    <x:row r="279">
      <x:c r="A279" s="88"/>
      <x:c r="B279" s="85"/>
      <x:c r="C279" s="85"/>
      <x:c r="D279" s="85"/>
      <x:c r="E279" s="90"/>
      <x:c r="F279" s="90"/>
      <x:c r="G279" s="90"/>
      <x:c r="H279" s="85"/>
      <x:c r="I279" s="85"/>
      <x:c r="J279" s="85"/>
      <x:c r="K279" s="85"/>
    </x:row>
    <x:row r="280">
      <x:c r="A280" s="88"/>
      <x:c r="B280" s="85"/>
      <x:c r="C280" s="85"/>
      <x:c r="D280" s="85"/>
      <x:c r="E280" s="90"/>
      <x:c r="F280" s="90"/>
      <x:c r="G280" s="90"/>
      <x:c r="H280" s="85"/>
      <x:c r="I280" s="85"/>
      <x:c r="J280" s="85"/>
      <x:c r="K280" s="85"/>
    </x:row>
    <x:row r="281">
      <x:c r="A281" s="88"/>
      <x:c r="B281" s="85"/>
      <x:c r="C281" s="85"/>
      <x:c r="D281" s="85"/>
      <x:c r="E281" s="90"/>
      <x:c r="F281" s="90"/>
      <x:c r="G281" s="90"/>
      <x:c r="H281" s="85"/>
      <x:c r="I281" s="85"/>
      <x:c r="J281" s="85"/>
      <x:c r="K281" s="85"/>
    </x:row>
    <x:row r="282">
      <x:c r="A282" s="88"/>
      <x:c r="B282" s="85"/>
      <x:c r="C282" s="85"/>
      <x:c r="D282" s="85"/>
      <x:c r="E282" s="90"/>
      <x:c r="F282" s="90"/>
      <x:c r="G282" s="90"/>
      <x:c r="H282" s="85"/>
      <x:c r="I282" s="85"/>
      <x:c r="J282" s="85"/>
      <x:c r="K282" s="85"/>
    </x:row>
    <x:row r="283">
      <x:c r="A283" s="88"/>
      <x:c r="B283" s="85"/>
      <x:c r="C283" s="85"/>
      <x:c r="D283" s="85"/>
      <x:c r="E283" s="90"/>
      <x:c r="F283" s="90"/>
      <x:c r="G283" s="90"/>
      <x:c r="H283" s="85"/>
      <x:c r="I283" s="85"/>
      <x:c r="J283" s="85"/>
      <x:c r="K283" s="85"/>
    </x:row>
    <x:row r="284">
      <x:c r="A284" s="88"/>
      <x:c r="B284" s="85"/>
      <x:c r="C284" s="85"/>
      <x:c r="D284" s="85"/>
      <x:c r="E284" s="90"/>
      <x:c r="F284" s="90"/>
      <x:c r="G284" s="90"/>
      <x:c r="H284" s="85"/>
      <x:c r="I284" s="85"/>
      <x:c r="J284" s="85"/>
      <x:c r="K284" s="85"/>
    </x:row>
    <x:row r="285">
      <x:c r="A285" s="88"/>
      <x:c r="B285" s="85"/>
      <x:c r="C285" s="85"/>
      <x:c r="D285" s="85"/>
      <x:c r="E285" s="90"/>
      <x:c r="F285" s="90"/>
      <x:c r="G285" s="90"/>
      <x:c r="H285" s="85"/>
      <x:c r="I285" s="85"/>
      <x:c r="J285" s="85"/>
      <x:c r="K285" s="85"/>
    </x:row>
    <x:row r="286">
      <x:c r="A286" s="88"/>
      <x:c r="B286" s="85"/>
      <x:c r="C286" s="85"/>
      <x:c r="D286" s="85"/>
      <x:c r="E286" s="90"/>
      <x:c r="F286" s="90"/>
      <x:c r="G286" s="90"/>
      <x:c r="H286" s="85"/>
      <x:c r="I286" s="85"/>
      <x:c r="J286" s="85"/>
      <x:c r="K286" s="85"/>
    </x:row>
    <x:row r="287">
      <x:c r="A287" s="88"/>
      <x:c r="B287" s="85"/>
      <x:c r="C287" s="85"/>
      <x:c r="D287" s="85"/>
      <x:c r="E287" s="90"/>
      <x:c r="F287" s="90"/>
      <x:c r="G287" s="90"/>
      <x:c r="H287" s="85"/>
      <x:c r="I287" s="85"/>
      <x:c r="J287" s="85"/>
      <x:c r="K287" s="85"/>
    </x:row>
    <x:row r="288">
      <x:c r="A288" s="88"/>
      <x:c r="B288" s="85"/>
      <x:c r="C288" s="85"/>
      <x:c r="D288" s="85"/>
      <x:c r="E288" s="90"/>
      <x:c r="F288" s="90"/>
      <x:c r="G288" s="90"/>
      <x:c r="H288" s="85"/>
      <x:c r="I288" s="85"/>
      <x:c r="J288" s="85"/>
      <x:c r="K288" s="85"/>
    </x:row>
    <x:row r="289">
      <x:c r="A289" s="88"/>
      <x:c r="B289" s="85"/>
      <x:c r="C289" s="85"/>
      <x:c r="D289" s="85"/>
      <x:c r="E289" s="90"/>
      <x:c r="F289" s="90"/>
      <x:c r="G289" s="90"/>
      <x:c r="H289" s="85"/>
      <x:c r="I289" s="85"/>
      <x:c r="J289" s="85"/>
      <x:c r="K289" s="85"/>
    </x:row>
    <x:row r="290">
      <x:c r="A290" s="88"/>
      <x:c r="B290" s="85"/>
      <x:c r="C290" s="85"/>
      <x:c r="D290" s="85"/>
      <x:c r="E290" s="90"/>
      <x:c r="F290" s="90"/>
      <x:c r="G290" s="90"/>
      <x:c r="H290" s="85"/>
      <x:c r="I290" s="85"/>
      <x:c r="J290" s="85"/>
      <x:c r="K290" s="85"/>
    </x:row>
    <x:row r="291">
      <x:c r="A291" s="88"/>
      <x:c r="B291" s="85"/>
      <x:c r="C291" s="85"/>
      <x:c r="D291" s="85"/>
      <x:c r="E291" s="90"/>
      <x:c r="F291" s="90"/>
      <x:c r="G291" s="90"/>
      <x:c r="H291" s="85"/>
      <x:c r="I291" s="85"/>
      <x:c r="J291" s="85"/>
      <x:c r="K291" s="85"/>
    </x:row>
    <x:row r="292">
      <x:c r="A292" s="88"/>
      <x:c r="B292" s="85"/>
      <x:c r="C292" s="85"/>
      <x:c r="D292" s="85"/>
      <x:c r="E292" s="90"/>
      <x:c r="F292" s="90"/>
      <x:c r="G292" s="90"/>
      <x:c r="H292" s="85"/>
      <x:c r="I292" s="85"/>
      <x:c r="J292" s="85"/>
      <x:c r="K292" s="85"/>
    </x:row>
    <x:row r="293">
      <x:c r="A293" s="88"/>
      <x:c r="B293" s="85"/>
      <x:c r="C293" s="85"/>
      <x:c r="D293" s="85"/>
      <x:c r="E293" s="90"/>
      <x:c r="F293" s="90"/>
      <x:c r="G293" s="90"/>
      <x:c r="H293" s="85"/>
      <x:c r="I293" s="85"/>
      <x:c r="J293" s="85"/>
      <x:c r="K293" s="85"/>
    </x:row>
    <x:row r="294">
      <x:c r="A294" s="88"/>
      <x:c r="B294" s="85"/>
      <x:c r="C294" s="85"/>
      <x:c r="D294" s="85"/>
      <x:c r="E294" s="90"/>
      <x:c r="F294" s="90"/>
      <x:c r="G294" s="90"/>
      <x:c r="H294" s="85"/>
      <x:c r="I294" s="85"/>
      <x:c r="J294" s="85"/>
      <x:c r="K294" s="85"/>
    </x:row>
    <x:row r="295">
      <x:c r="A295" s="88"/>
      <x:c r="B295" s="85"/>
      <x:c r="C295" s="85"/>
      <x:c r="D295" s="85"/>
      <x:c r="E295" s="90"/>
      <x:c r="F295" s="90"/>
      <x:c r="G295" s="90"/>
      <x:c r="H295" s="85"/>
      <x:c r="I295" s="85"/>
      <x:c r="J295" s="85"/>
      <x:c r="K295" s="85"/>
    </x:row>
    <x:row r="296">
      <x:c r="A296" s="88"/>
      <x:c r="B296" s="85"/>
      <x:c r="C296" s="85"/>
      <x:c r="D296" s="85"/>
      <x:c r="E296" s="90"/>
      <x:c r="F296" s="90"/>
      <x:c r="G296" s="90"/>
      <x:c r="H296" s="85"/>
      <x:c r="I296" s="85"/>
      <x:c r="J296" s="85"/>
      <x:c r="K296" s="85"/>
    </x:row>
    <x:row r="297">
      <x:c r="A297" s="88"/>
      <x:c r="B297" s="85"/>
      <x:c r="C297" s="85"/>
      <x:c r="D297" s="85"/>
      <x:c r="E297" s="90"/>
      <x:c r="F297" s="90"/>
      <x:c r="G297" s="90"/>
      <x:c r="H297" s="85"/>
      <x:c r="I297" s="85"/>
      <x:c r="J297" s="85"/>
      <x:c r="K297" s="85"/>
    </x:row>
    <x:row r="298">
      <x:c r="A298" s="88"/>
      <x:c r="B298" s="85"/>
      <x:c r="C298" s="85"/>
      <x:c r="D298" s="85"/>
      <x:c r="E298" s="90"/>
      <x:c r="F298" s="90"/>
      <x:c r="G298" s="90"/>
      <x:c r="H298" s="85"/>
      <x:c r="I298" s="85"/>
      <x:c r="J298" s="85"/>
      <x:c r="K298" s="85"/>
    </x:row>
    <x:row r="299">
      <x:c r="A299" s="88"/>
      <x:c r="B299" s="85"/>
      <x:c r="C299" s="85"/>
      <x:c r="D299" s="85"/>
      <x:c r="E299" s="90"/>
      <x:c r="F299" s="90"/>
      <x:c r="G299" s="90"/>
      <x:c r="H299" s="85"/>
      <x:c r="I299" s="85"/>
      <x:c r="J299" s="85"/>
      <x:c r="K299" s="85"/>
    </x:row>
    <x:row r="300">
      <x:c r="A300" s="88"/>
      <x:c r="B300" s="85"/>
      <x:c r="C300" s="85"/>
      <x:c r="D300" s="85"/>
      <x:c r="E300" s="90"/>
      <x:c r="F300" s="90"/>
      <x:c r="G300" s="90"/>
      <x:c r="H300" s="85"/>
      <x:c r="I300" s="85"/>
      <x:c r="J300" s="85"/>
      <x:c r="K300" s="85"/>
    </x:row>
    <x:row r="301">
      <x:c r="A301" s="88"/>
      <x:c r="B301" s="85"/>
      <x:c r="C301" s="85"/>
      <x:c r="D301" s="85"/>
      <x:c r="E301" s="90"/>
      <x:c r="F301" s="90"/>
      <x:c r="G301" s="90"/>
      <x:c r="H301" s="85"/>
      <x:c r="I301" s="85"/>
      <x:c r="J301" s="85"/>
      <x:c r="K301" s="85"/>
    </x:row>
    <x:row r="302">
      <x:c r="A302" s="88"/>
      <x:c r="B302" s="85"/>
      <x:c r="C302" s="85"/>
      <x:c r="D302" s="85"/>
      <x:c r="E302" s="90"/>
      <x:c r="F302" s="90"/>
      <x:c r="G302" s="90"/>
      <x:c r="H302" s="85"/>
      <x:c r="I302" s="85"/>
      <x:c r="J302" s="85"/>
      <x:c r="K302" s="85"/>
    </x:row>
    <x:row r="303">
      <x:c r="A303" s="88"/>
      <x:c r="B303" s="85"/>
      <x:c r="C303" s="85"/>
      <x:c r="D303" s="85"/>
      <x:c r="E303" s="90"/>
      <x:c r="F303" s="90"/>
      <x:c r="G303" s="90"/>
      <x:c r="H303" s="85"/>
      <x:c r="I303" s="85"/>
      <x:c r="J303" s="85"/>
      <x:c r="K303" s="85"/>
    </x:row>
    <x:row r="304">
      <x:c r="A304" s="88"/>
      <x:c r="B304" s="85"/>
      <x:c r="C304" s="85"/>
      <x:c r="D304" s="85"/>
      <x:c r="E304" s="90"/>
      <x:c r="F304" s="90"/>
      <x:c r="G304" s="90"/>
      <x:c r="H304" s="85"/>
      <x:c r="I304" s="85"/>
      <x:c r="J304" s="85"/>
      <x:c r="K304" s="85"/>
    </x:row>
    <x:row r="305">
      <x:c r="A305" s="88"/>
      <x:c r="B305" s="85"/>
      <x:c r="C305" s="85"/>
      <x:c r="D305" s="85"/>
      <x:c r="E305" s="90"/>
      <x:c r="F305" s="90"/>
      <x:c r="G305" s="90"/>
      <x:c r="H305" s="85"/>
      <x:c r="I305" s="85"/>
      <x:c r="J305" s="85"/>
      <x:c r="K305" s="85"/>
    </x:row>
    <x:row r="306">
      <x:c r="A306" s="88"/>
      <x:c r="B306" s="85"/>
      <x:c r="C306" s="85"/>
      <x:c r="D306" s="85"/>
      <x:c r="E306" s="90"/>
      <x:c r="F306" s="90"/>
      <x:c r="G306" s="90"/>
      <x:c r="H306" s="85"/>
      <x:c r="I306" s="85"/>
      <x:c r="J306" s="85"/>
      <x:c r="K306" s="85"/>
    </x:row>
    <x:row r="307">
      <x:c r="A307" s="88"/>
      <x:c r="B307" s="85"/>
      <x:c r="C307" s="85"/>
      <x:c r="D307" s="85"/>
      <x:c r="E307" s="90"/>
      <x:c r="F307" s="90"/>
      <x:c r="G307" s="90"/>
      <x:c r="H307" s="85"/>
      <x:c r="I307" s="85"/>
      <x:c r="J307" s="85"/>
      <x:c r="K307" s="85"/>
    </x:row>
    <x:row r="308">
      <x:c r="A308" s="88"/>
      <x:c r="B308" s="85"/>
      <x:c r="C308" s="85"/>
      <x:c r="D308" s="85"/>
      <x:c r="E308" s="90"/>
      <x:c r="F308" s="90"/>
      <x:c r="G308" s="90"/>
      <x:c r="H308" s="85"/>
      <x:c r="I308" s="85"/>
      <x:c r="J308" s="85"/>
      <x:c r="K308" s="85"/>
    </x:row>
    <x:row r="309">
      <x:c r="A309" s="88"/>
      <x:c r="B309" s="85"/>
      <x:c r="C309" s="85"/>
      <x:c r="D309" s="85"/>
      <x:c r="E309" s="90"/>
      <x:c r="F309" s="90"/>
      <x:c r="G309" s="90"/>
      <x:c r="H309" s="85"/>
      <x:c r="I309" s="85"/>
      <x:c r="J309" s="85"/>
      <x:c r="K309" s="85"/>
    </x:row>
    <x:row r="310">
      <x:c r="A310" s="88"/>
      <x:c r="B310" s="85"/>
      <x:c r="C310" s="85"/>
      <x:c r="D310" s="85"/>
      <x:c r="E310" s="90"/>
      <x:c r="F310" s="90"/>
      <x:c r="G310" s="90"/>
      <x:c r="H310" s="85"/>
      <x:c r="I310" s="85"/>
      <x:c r="J310" s="85"/>
      <x:c r="K310" s="85"/>
    </x:row>
    <x:row r="311">
      <x:c r="A311" s="88"/>
      <x:c r="B311" s="85"/>
      <x:c r="C311" s="85"/>
      <x:c r="D311" s="85"/>
      <x:c r="E311" s="90"/>
      <x:c r="F311" s="90"/>
      <x:c r="G311" s="90"/>
      <x:c r="H311" s="85"/>
      <x:c r="I311" s="85"/>
      <x:c r="J311" s="85"/>
      <x:c r="K311" s="85"/>
    </x:row>
    <x:row r="312">
      <x:c r="A312" s="88"/>
      <x:c r="B312" s="85"/>
      <x:c r="C312" s="85"/>
      <x:c r="D312" s="85"/>
      <x:c r="E312" s="90"/>
      <x:c r="F312" s="90"/>
      <x:c r="G312" s="90"/>
      <x:c r="H312" s="85"/>
      <x:c r="I312" s="85"/>
      <x:c r="J312" s="85"/>
      <x:c r="K312" s="85"/>
    </x:row>
    <x:row r="313">
      <x:c r="A313" s="88"/>
      <x:c r="B313" s="85"/>
      <x:c r="C313" s="85"/>
      <x:c r="D313" s="85"/>
      <x:c r="E313" s="90"/>
      <x:c r="F313" s="90"/>
      <x:c r="G313" s="90"/>
      <x:c r="H313" s="85"/>
      <x:c r="I313" s="85"/>
      <x:c r="J313" s="85"/>
      <x:c r="K313" s="85"/>
    </x:row>
    <x:row r="314">
      <x:c r="A314" s="88"/>
      <x:c r="B314" s="85"/>
      <x:c r="C314" s="85"/>
      <x:c r="D314" s="85"/>
      <x:c r="E314" s="90"/>
      <x:c r="F314" s="90"/>
      <x:c r="G314" s="90"/>
      <x:c r="H314" s="85"/>
      <x:c r="I314" s="85"/>
      <x:c r="J314" s="85"/>
      <x:c r="K314" s="85"/>
    </x:row>
    <x:row r="315">
      <x:c r="A315" s="88"/>
      <x:c r="B315" s="85"/>
      <x:c r="C315" s="85"/>
      <x:c r="D315" s="85"/>
      <x:c r="E315" s="90"/>
      <x:c r="F315" s="90"/>
      <x:c r="G315" s="90"/>
      <x:c r="H315" s="85"/>
      <x:c r="I315" s="85"/>
      <x:c r="J315" s="85"/>
      <x:c r="K315" s="85"/>
    </x:row>
    <x:row r="316">
      <x:c r="A316" s="88"/>
      <x:c r="B316" s="85"/>
      <x:c r="C316" s="85"/>
      <x:c r="D316" s="85"/>
      <x:c r="E316" s="90"/>
      <x:c r="F316" s="90"/>
      <x:c r="G316" s="90"/>
      <x:c r="H316" s="85"/>
      <x:c r="I316" s="85"/>
      <x:c r="J316" s="85"/>
      <x:c r="K316" s="85"/>
    </x:row>
    <x:row r="317">
      <x:c r="A317" s="88"/>
      <x:c r="B317" s="85"/>
      <x:c r="C317" s="85"/>
      <x:c r="D317" s="85"/>
      <x:c r="E317" s="90"/>
      <x:c r="F317" s="90"/>
      <x:c r="G317" s="90"/>
      <x:c r="H317" s="85"/>
      <x:c r="I317" s="85"/>
      <x:c r="J317" s="85"/>
      <x:c r="K317" s="85"/>
    </x:row>
    <x:row r="318">
      <x:c r="A318" s="88"/>
      <x:c r="B318" s="85"/>
      <x:c r="C318" s="85"/>
      <x:c r="D318" s="85"/>
      <x:c r="E318" s="90"/>
      <x:c r="F318" s="90"/>
      <x:c r="G318" s="90"/>
      <x:c r="H318" s="85"/>
      <x:c r="I318" s="85"/>
      <x:c r="J318" s="85"/>
      <x:c r="K318" s="85"/>
    </x:row>
    <x:row r="319">
      <x:c r="A319" s="88"/>
      <x:c r="B319" s="85"/>
      <x:c r="C319" s="85"/>
      <x:c r="D319" s="85"/>
      <x:c r="E319" s="90"/>
      <x:c r="F319" s="90"/>
      <x:c r="G319" s="90"/>
      <x:c r="H319" s="85"/>
      <x:c r="I319" s="85"/>
      <x:c r="J319" s="85"/>
      <x:c r="K319" s="85"/>
    </x:row>
    <x:row r="320">
      <x:c r="A320" s="88"/>
      <x:c r="B320" s="85"/>
      <x:c r="C320" s="85"/>
      <x:c r="D320" s="85"/>
      <x:c r="E320" s="90"/>
      <x:c r="F320" s="90"/>
      <x:c r="G320" s="90"/>
      <x:c r="H320" s="85"/>
      <x:c r="I320" s="85"/>
      <x:c r="J320" s="85"/>
      <x:c r="K320" s="85"/>
    </x:row>
    <x:row r="321">
      <x:c r="A321" s="88"/>
      <x:c r="B321" s="85"/>
      <x:c r="C321" s="85"/>
      <x:c r="D321" s="85"/>
      <x:c r="E321" s="90"/>
      <x:c r="F321" s="90"/>
      <x:c r="G321" s="90"/>
      <x:c r="H321" s="85"/>
      <x:c r="I321" s="85"/>
      <x:c r="J321" s="85"/>
      <x:c r="K321" s="85"/>
    </x:row>
    <x:row r="322">
      <x:c r="A322" s="88"/>
      <x:c r="B322" s="85"/>
      <x:c r="C322" s="85"/>
      <x:c r="D322" s="85"/>
      <x:c r="E322" s="90"/>
      <x:c r="F322" s="90"/>
      <x:c r="G322" s="90"/>
      <x:c r="H322" s="85"/>
      <x:c r="I322" s="85"/>
      <x:c r="J322" s="85"/>
      <x:c r="K322" s="85"/>
    </x:row>
    <x:row r="323">
      <x:c r="A323" s="88"/>
      <x:c r="B323" s="85"/>
      <x:c r="C323" s="85"/>
      <x:c r="D323" s="85"/>
      <x:c r="E323" s="90"/>
      <x:c r="F323" s="90"/>
      <x:c r="G323" s="90"/>
      <x:c r="H323" s="85"/>
      <x:c r="I323" s="85"/>
      <x:c r="J323" s="85"/>
      <x:c r="K323" s="85"/>
    </x:row>
    <x:row r="324">
      <x:c r="A324" s="88"/>
      <x:c r="B324" s="85"/>
      <x:c r="C324" s="85"/>
      <x:c r="D324" s="85"/>
      <x:c r="E324" s="90"/>
      <x:c r="F324" s="90"/>
      <x:c r="G324" s="90"/>
      <x:c r="H324" s="85"/>
      <x:c r="I324" s="85"/>
      <x:c r="J324" s="85"/>
      <x:c r="K324" s="85"/>
    </x:row>
    <x:row r="325">
      <x:c r="A325" s="88"/>
      <x:c r="B325" s="85"/>
      <x:c r="C325" s="85"/>
      <x:c r="D325" s="85"/>
      <x:c r="E325" s="90"/>
      <x:c r="F325" s="90"/>
      <x:c r="G325" s="90"/>
      <x:c r="H325" s="85"/>
      <x:c r="I325" s="85"/>
      <x:c r="J325" s="85"/>
      <x:c r="K325" s="85"/>
    </x:row>
    <x:row r="326">
      <x:c r="A326" s="88"/>
      <x:c r="B326" s="85"/>
      <x:c r="C326" s="85"/>
      <x:c r="D326" s="85"/>
      <x:c r="E326" s="90"/>
      <x:c r="F326" s="90"/>
      <x:c r="G326" s="90"/>
      <x:c r="H326" s="85"/>
      <x:c r="I326" s="85"/>
      <x:c r="J326" s="85"/>
      <x:c r="K326" s="85"/>
    </x:row>
    <x:row r="327">
      <x:c r="A327" s="88"/>
      <x:c r="B327" s="85"/>
      <x:c r="C327" s="85"/>
      <x:c r="D327" s="85"/>
      <x:c r="E327" s="90"/>
      <x:c r="F327" s="90"/>
      <x:c r="G327" s="90"/>
      <x:c r="H327" s="85"/>
      <x:c r="I327" s="85"/>
      <x:c r="J327" s="85"/>
      <x:c r="K327" s="85"/>
    </x:row>
    <x:row r="328">
      <x:c r="A328" s="88"/>
      <x:c r="B328" s="85"/>
      <x:c r="C328" s="85"/>
      <x:c r="D328" s="85"/>
      <x:c r="E328" s="90"/>
      <x:c r="F328" s="90"/>
      <x:c r="G328" s="90"/>
      <x:c r="H328" s="85"/>
      <x:c r="I328" s="85"/>
      <x:c r="J328" s="85"/>
      <x:c r="K328" s="85"/>
    </x:row>
    <x:row r="329">
      <x:c r="A329" s="88"/>
      <x:c r="B329" s="85"/>
      <x:c r="C329" s="85"/>
      <x:c r="D329" s="85"/>
      <x:c r="E329" s="90"/>
      <x:c r="F329" s="90"/>
      <x:c r="G329" s="90"/>
      <x:c r="H329" s="85"/>
      <x:c r="I329" s="85"/>
      <x:c r="J329" s="85"/>
      <x:c r="K329" s="85"/>
    </x:row>
    <x:row r="330">
      <x:c r="A330" s="88"/>
      <x:c r="B330" s="85"/>
      <x:c r="C330" s="85"/>
      <x:c r="D330" s="85"/>
      <x:c r="E330" s="90"/>
      <x:c r="F330" s="90"/>
      <x:c r="G330" s="90"/>
      <x:c r="H330" s="85"/>
      <x:c r="I330" s="85"/>
      <x:c r="J330" s="85"/>
      <x:c r="K330" s="85"/>
    </x:row>
    <x:row r="331">
      <x:c r="A331" s="88"/>
      <x:c r="B331" s="85"/>
      <x:c r="C331" s="85"/>
      <x:c r="D331" s="85"/>
      <x:c r="E331" s="90"/>
      <x:c r="F331" s="90"/>
      <x:c r="G331" s="90"/>
      <x:c r="H331" s="85"/>
      <x:c r="I331" s="85"/>
      <x:c r="J331" s="85"/>
      <x:c r="K331" s="85"/>
    </x:row>
    <x:row r="332">
      <x:c r="A332" s="88"/>
      <x:c r="B332" s="85"/>
      <x:c r="C332" s="85"/>
      <x:c r="D332" s="85"/>
      <x:c r="E332" s="90"/>
      <x:c r="F332" s="90"/>
      <x:c r="G332" s="90"/>
      <x:c r="H332" s="85"/>
      <x:c r="I332" s="85"/>
      <x:c r="J332" s="85"/>
      <x:c r="K332" s="85"/>
    </x:row>
    <x:row r="333">
      <x:c r="A333" s="88"/>
      <x:c r="B333" s="85"/>
      <x:c r="C333" s="85"/>
      <x:c r="D333" s="85"/>
      <x:c r="E333" s="90"/>
      <x:c r="F333" s="90"/>
      <x:c r="G333" s="90"/>
      <x:c r="H333" s="85"/>
      <x:c r="I333" s="85"/>
      <x:c r="J333" s="85"/>
      <x:c r="K333" s="85"/>
    </x:row>
    <x:row r="334">
      <x:c r="A334" s="88"/>
      <x:c r="B334" s="85"/>
      <x:c r="C334" s="85"/>
      <x:c r="D334" s="85"/>
      <x:c r="E334" s="90"/>
      <x:c r="F334" s="90"/>
      <x:c r="G334" s="90"/>
      <x:c r="H334" s="85"/>
      <x:c r="I334" s="85"/>
      <x:c r="J334" s="85"/>
      <x:c r="K334" s="85"/>
    </x:row>
    <x:row r="335">
      <x:c r="A335" s="88"/>
      <x:c r="B335" s="85"/>
      <x:c r="C335" s="85"/>
      <x:c r="D335" s="85"/>
      <x:c r="E335" s="90"/>
      <x:c r="F335" s="90"/>
      <x:c r="G335" s="90"/>
      <x:c r="H335" s="85"/>
      <x:c r="I335" s="85"/>
      <x:c r="J335" s="85"/>
      <x:c r="K335" s="85"/>
    </x:row>
    <x:row r="336">
      <x:c r="A336" s="88"/>
      <x:c r="B336" s="85"/>
      <x:c r="C336" s="85"/>
      <x:c r="D336" s="85"/>
      <x:c r="E336" s="90"/>
      <x:c r="F336" s="90"/>
      <x:c r="G336" s="90"/>
      <x:c r="H336" s="85"/>
      <x:c r="I336" s="85"/>
      <x:c r="J336" s="85"/>
      <x:c r="K336" s="85"/>
    </x:row>
    <x:row r="337">
      <x:c r="A337" s="88"/>
      <x:c r="B337" s="85"/>
      <x:c r="C337" s="85"/>
      <x:c r="D337" s="85"/>
      <x:c r="E337" s="90"/>
      <x:c r="F337" s="90"/>
      <x:c r="G337" s="90"/>
      <x:c r="H337" s="85"/>
      <x:c r="I337" s="85"/>
      <x:c r="J337" s="85"/>
      <x:c r="K337" s="85"/>
    </x:row>
    <x:row r="338">
      <x:c r="A338" s="88"/>
      <x:c r="B338" s="85"/>
      <x:c r="C338" s="85"/>
      <x:c r="D338" s="85"/>
      <x:c r="E338" s="90"/>
      <x:c r="F338" s="90"/>
      <x:c r="G338" s="90"/>
      <x:c r="H338" s="85"/>
      <x:c r="I338" s="85"/>
      <x:c r="J338" s="85"/>
      <x:c r="K338" s="85"/>
    </x:row>
    <x:row r="339">
      <x:c r="A339" s="88"/>
      <x:c r="B339" s="85"/>
      <x:c r="C339" s="85"/>
      <x:c r="D339" s="85"/>
      <x:c r="E339" s="90"/>
      <x:c r="F339" s="90"/>
      <x:c r="G339" s="90"/>
      <x:c r="H339" s="85"/>
      <x:c r="I339" s="85"/>
      <x:c r="J339" s="85"/>
      <x:c r="K339" s="85"/>
    </x:row>
    <x:row r="340">
      <x:c r="A340" s="88"/>
      <x:c r="B340" s="85"/>
      <x:c r="C340" s="85"/>
      <x:c r="D340" s="85"/>
      <x:c r="E340" s="90"/>
      <x:c r="F340" s="90"/>
      <x:c r="G340" s="90"/>
      <x:c r="H340" s="85"/>
      <x:c r="I340" s="85"/>
      <x:c r="J340" s="85"/>
      <x:c r="K340" s="85"/>
    </x:row>
    <x:row r="341">
      <x:c r="A341" s="88"/>
      <x:c r="B341" s="85"/>
      <x:c r="C341" s="85"/>
      <x:c r="D341" s="85"/>
      <x:c r="E341" s="90"/>
      <x:c r="F341" s="90"/>
      <x:c r="G341" s="90"/>
      <x:c r="H341" s="85"/>
      <x:c r="I341" s="85"/>
      <x:c r="J341" s="85"/>
      <x:c r="K341" s="85"/>
    </x:row>
    <x:row r="342">
      <x:c r="A342" s="88"/>
      <x:c r="B342" s="85"/>
      <x:c r="C342" s="85"/>
      <x:c r="D342" s="85"/>
      <x:c r="E342" s="90"/>
      <x:c r="F342" s="90"/>
      <x:c r="G342" s="90"/>
      <x:c r="H342" s="85"/>
      <x:c r="I342" s="85"/>
      <x:c r="J342" s="85"/>
      <x:c r="K342" s="85"/>
    </x:row>
    <x:row r="343">
      <x:c r="A343" s="88"/>
      <x:c r="B343" s="85"/>
      <x:c r="C343" s="85"/>
      <x:c r="D343" s="85"/>
      <x:c r="E343" s="90"/>
      <x:c r="F343" s="90"/>
      <x:c r="G343" s="90"/>
      <x:c r="H343" s="85"/>
      <x:c r="I343" s="85"/>
      <x:c r="J343" s="85"/>
      <x:c r="K343" s="85"/>
    </x:row>
    <x:row r="344">
      <x:c r="A344" s="88"/>
      <x:c r="B344" s="85"/>
      <x:c r="C344" s="85"/>
      <x:c r="D344" s="85"/>
      <x:c r="E344" s="90"/>
      <x:c r="F344" s="90"/>
      <x:c r="G344" s="90"/>
      <x:c r="H344" s="85"/>
      <x:c r="I344" s="85"/>
      <x:c r="J344" s="85"/>
      <x:c r="K344" s="85"/>
    </x:row>
    <x:row r="345">
      <x:c r="A345" s="88"/>
      <x:c r="B345" s="85"/>
      <x:c r="C345" s="85"/>
      <x:c r="D345" s="85"/>
      <x:c r="E345" s="90"/>
      <x:c r="F345" s="90"/>
      <x:c r="G345" s="90"/>
      <x:c r="H345" s="85"/>
      <x:c r="I345" s="85"/>
      <x:c r="J345" s="85"/>
      <x:c r="K345" s="85"/>
    </x:row>
    <x:row r="346">
      <x:c r="A346" s="88"/>
      <x:c r="B346" s="85"/>
      <x:c r="C346" s="85"/>
      <x:c r="D346" s="85"/>
      <x:c r="E346" s="90"/>
      <x:c r="F346" s="90"/>
      <x:c r="G346" s="90"/>
      <x:c r="H346" s="85"/>
      <x:c r="I346" s="85"/>
      <x:c r="J346" s="85"/>
      <x:c r="K346" s="85"/>
    </x:row>
    <x:row r="347">
      <x:c r="A347" s="88"/>
      <x:c r="B347" s="85"/>
      <x:c r="C347" s="85"/>
      <x:c r="D347" s="85"/>
      <x:c r="E347" s="90"/>
      <x:c r="F347" s="90"/>
      <x:c r="G347" s="90"/>
      <x:c r="H347" s="85"/>
      <x:c r="I347" s="85"/>
      <x:c r="J347" s="85"/>
      <x:c r="K347" s="85"/>
    </x:row>
    <x:row r="348">
      <x:c r="A348" s="88"/>
      <x:c r="B348" s="85"/>
      <x:c r="C348" s="85"/>
      <x:c r="D348" s="85"/>
      <x:c r="E348" s="90"/>
      <x:c r="F348" s="90"/>
      <x:c r="G348" s="90"/>
      <x:c r="H348" s="85"/>
      <x:c r="I348" s="85"/>
      <x:c r="J348" s="85"/>
      <x:c r="K348" s="85"/>
    </x:row>
    <x:row r="349">
      <x:c r="A349" s="88"/>
      <x:c r="B349" s="85"/>
      <x:c r="C349" s="85"/>
      <x:c r="D349" s="85"/>
      <x:c r="E349" s="90"/>
      <x:c r="F349" s="90"/>
      <x:c r="G349" s="90"/>
      <x:c r="H349" s="85"/>
      <x:c r="I349" s="85"/>
      <x:c r="J349" s="85"/>
      <x:c r="K349" s="85"/>
    </x:row>
    <x:row r="350">
      <x:c r="A350" s="88"/>
      <x:c r="B350" s="85"/>
      <x:c r="C350" s="85"/>
      <x:c r="D350" s="85"/>
      <x:c r="E350" s="90"/>
      <x:c r="F350" s="90"/>
      <x:c r="G350" s="90"/>
      <x:c r="H350" s="85"/>
      <x:c r="I350" s="85"/>
      <x:c r="J350" s="85"/>
      <x:c r="K350" s="85"/>
    </x:row>
    <x:row r="351">
      <x:c r="A351" s="88"/>
      <x:c r="B351" s="85"/>
      <x:c r="C351" s="85"/>
      <x:c r="D351" s="85"/>
      <x:c r="E351" s="90"/>
      <x:c r="F351" s="90"/>
      <x:c r="G351" s="90"/>
      <x:c r="H351" s="85"/>
      <x:c r="I351" s="85"/>
      <x:c r="J351" s="85"/>
      <x:c r="K351" s="85"/>
    </x:row>
    <x:row r="352">
      <x:c r="A352" s="88"/>
      <x:c r="B352" s="85"/>
      <x:c r="C352" s="85"/>
      <x:c r="D352" s="85"/>
      <x:c r="E352" s="90"/>
      <x:c r="F352" s="90"/>
      <x:c r="G352" s="90"/>
      <x:c r="H352" s="85"/>
      <x:c r="I352" s="85"/>
      <x:c r="J352" s="85"/>
      <x:c r="K352" s="85"/>
    </x:row>
    <x:row r="353">
      <x:c r="A353" s="88"/>
      <x:c r="B353" s="85"/>
      <x:c r="C353" s="85"/>
      <x:c r="D353" s="85"/>
      <x:c r="E353" s="90"/>
      <x:c r="F353" s="90"/>
      <x:c r="G353" s="90"/>
      <x:c r="H353" s="85"/>
      <x:c r="I353" s="85"/>
      <x:c r="J353" s="85"/>
      <x:c r="K353" s="85"/>
    </x:row>
    <x:row r="354">
      <x:c r="A354" s="88"/>
      <x:c r="B354" s="85"/>
      <x:c r="C354" s="85"/>
      <x:c r="D354" s="85"/>
      <x:c r="E354" s="90"/>
      <x:c r="F354" s="90"/>
      <x:c r="G354" s="90"/>
      <x:c r="H354" s="85"/>
      <x:c r="I354" s="85"/>
      <x:c r="J354" s="85"/>
      <x:c r="K354" s="85"/>
    </x:row>
    <x:row r="355">
      <x:c r="A355" s="88"/>
      <x:c r="B355" s="85"/>
      <x:c r="C355" s="85"/>
      <x:c r="D355" s="85"/>
      <x:c r="E355" s="90"/>
      <x:c r="F355" s="90"/>
      <x:c r="G355" s="90"/>
      <x:c r="H355" s="85"/>
      <x:c r="I355" s="85"/>
      <x:c r="J355" s="85"/>
      <x:c r="K355" s="85"/>
    </x:row>
    <x:row r="356">
      <x:c r="A356" s="88"/>
      <x:c r="B356" s="85"/>
      <x:c r="C356" s="85"/>
      <x:c r="D356" s="85"/>
      <x:c r="E356" s="90"/>
      <x:c r="F356" s="90"/>
      <x:c r="G356" s="90"/>
      <x:c r="H356" s="85"/>
      <x:c r="I356" s="85"/>
      <x:c r="J356" s="85"/>
      <x:c r="K356" s="85"/>
    </x:row>
    <x:row r="357">
      <x:c r="A357" s="88"/>
      <x:c r="B357" s="85"/>
      <x:c r="C357" s="85"/>
      <x:c r="D357" s="85"/>
      <x:c r="E357" s="90"/>
      <x:c r="F357" s="90"/>
      <x:c r="G357" s="90"/>
      <x:c r="H357" s="85"/>
      <x:c r="I357" s="85"/>
      <x:c r="J357" s="85"/>
      <x:c r="K357" s="85"/>
    </x:row>
    <x:row r="358">
      <x:c r="A358" s="88"/>
      <x:c r="B358" s="85"/>
      <x:c r="C358" s="85"/>
      <x:c r="D358" s="85"/>
      <x:c r="E358" s="90"/>
      <x:c r="F358" s="90"/>
      <x:c r="G358" s="90"/>
      <x:c r="H358" s="85"/>
      <x:c r="I358" s="85"/>
      <x:c r="J358" s="85"/>
      <x:c r="K358" s="85"/>
    </x:row>
    <x:row r="359">
      <x:c r="A359" s="88"/>
      <x:c r="B359" s="85"/>
      <x:c r="C359" s="85"/>
      <x:c r="D359" s="85"/>
      <x:c r="E359" s="90"/>
      <x:c r="F359" s="90"/>
      <x:c r="G359" s="90"/>
      <x:c r="H359" s="85"/>
      <x:c r="I359" s="85"/>
      <x:c r="J359" s="85"/>
      <x:c r="K359" s="85"/>
    </x:row>
    <x:row r="360">
      <x:c r="A360" s="88"/>
      <x:c r="B360" s="85"/>
      <x:c r="C360" s="85"/>
      <x:c r="D360" s="85"/>
      <x:c r="E360" s="90"/>
      <x:c r="F360" s="90"/>
      <x:c r="G360" s="90"/>
      <x:c r="H360" s="85"/>
      <x:c r="I360" s="85"/>
      <x:c r="J360" s="85"/>
      <x:c r="K360" s="85"/>
    </x:row>
    <x:row r="361">
      <x:c r="A361" s="88"/>
      <x:c r="B361" s="85"/>
      <x:c r="C361" s="85"/>
      <x:c r="D361" s="85"/>
      <x:c r="E361" s="90"/>
      <x:c r="F361" s="90"/>
      <x:c r="G361" s="90"/>
      <x:c r="H361" s="85"/>
      <x:c r="I361" s="85"/>
      <x:c r="J361" s="85"/>
      <x:c r="K361" s="85"/>
    </x:row>
    <x:row r="362">
      <x:c r="A362" s="88"/>
      <x:c r="B362" s="85"/>
      <x:c r="C362" s="85"/>
      <x:c r="D362" s="85"/>
      <x:c r="E362" s="90"/>
      <x:c r="F362" s="90"/>
      <x:c r="G362" s="90"/>
      <x:c r="H362" s="85"/>
      <x:c r="I362" s="85"/>
      <x:c r="J362" s="85"/>
      <x:c r="K362" s="85"/>
    </x:row>
    <x:row r="363">
      <x:c r="A363" s="88"/>
      <x:c r="B363" s="85"/>
      <x:c r="C363" s="85"/>
      <x:c r="D363" s="85"/>
      <x:c r="E363" s="90"/>
      <x:c r="F363" s="90"/>
      <x:c r="G363" s="90"/>
      <x:c r="H363" s="85"/>
      <x:c r="I363" s="85"/>
      <x:c r="J363" s="85"/>
      <x:c r="K363" s="85"/>
    </x:row>
    <x:row r="364">
      <x:c r="A364" s="88"/>
      <x:c r="B364" s="85"/>
      <x:c r="C364" s="85"/>
      <x:c r="D364" s="85"/>
      <x:c r="E364" s="90"/>
      <x:c r="F364" s="90"/>
      <x:c r="G364" s="90"/>
      <x:c r="H364" s="85"/>
      <x:c r="I364" s="85"/>
      <x:c r="J364" s="85"/>
      <x:c r="K364" s="85"/>
    </x:row>
    <x:row r="365">
      <x:c r="A365" s="88"/>
      <x:c r="B365" s="85"/>
      <x:c r="C365" s="85"/>
      <x:c r="D365" s="85"/>
      <x:c r="E365" s="90"/>
      <x:c r="F365" s="90"/>
      <x:c r="G365" s="90"/>
      <x:c r="H365" s="85"/>
      <x:c r="I365" s="85"/>
      <x:c r="J365" s="85"/>
      <x:c r="K365" s="85"/>
    </x:row>
    <x:row r="366">
      <x:c r="A366" s="88"/>
      <x:c r="B366" s="85"/>
      <x:c r="C366" s="85"/>
      <x:c r="D366" s="85"/>
      <x:c r="E366" s="90"/>
      <x:c r="F366" s="90"/>
      <x:c r="G366" s="90"/>
      <x:c r="H366" s="85"/>
      <x:c r="I366" s="85"/>
      <x:c r="J366" s="85"/>
      <x:c r="K366" s="85"/>
    </x:row>
    <x:row r="367">
      <x:c r="A367" s="88"/>
      <x:c r="B367" s="85"/>
      <x:c r="C367" s="85"/>
      <x:c r="D367" s="85"/>
      <x:c r="E367" s="90"/>
      <x:c r="F367" s="90"/>
      <x:c r="G367" s="90"/>
      <x:c r="H367" s="85"/>
      <x:c r="I367" s="85"/>
      <x:c r="J367" s="85"/>
      <x:c r="K367" s="85"/>
    </x:row>
    <x:row r="368">
      <x:c r="A368" s="88"/>
      <x:c r="B368" s="85"/>
      <x:c r="C368" s="85"/>
      <x:c r="D368" s="85"/>
      <x:c r="E368" s="90"/>
      <x:c r="F368" s="90"/>
      <x:c r="G368" s="90"/>
      <x:c r="H368" s="85"/>
      <x:c r="I368" s="85"/>
      <x:c r="J368" s="85"/>
      <x:c r="K368" s="85"/>
    </x:row>
    <x:row r="369">
      <x:c r="A369" s="88"/>
      <x:c r="B369" s="85"/>
      <x:c r="C369" s="85"/>
      <x:c r="D369" s="85"/>
      <x:c r="E369" s="90"/>
      <x:c r="F369" s="90"/>
      <x:c r="G369" s="90"/>
      <x:c r="H369" s="85"/>
      <x:c r="I369" s="85"/>
      <x:c r="J369" s="85"/>
      <x:c r="K369" s="85"/>
    </x:row>
    <x:row r="370">
      <x:c r="A370" s="88"/>
      <x:c r="B370" s="85"/>
      <x:c r="C370" s="85"/>
      <x:c r="D370" s="85"/>
      <x:c r="E370" s="90"/>
      <x:c r="F370" s="90"/>
      <x:c r="G370" s="90"/>
      <x:c r="H370" s="85"/>
      <x:c r="I370" s="85"/>
      <x:c r="J370" s="85"/>
      <x:c r="K370" s="85"/>
    </x:row>
    <x:row r="371">
      <x:c r="A371" s="88"/>
      <x:c r="B371" s="85"/>
      <x:c r="C371" s="85"/>
      <x:c r="D371" s="85"/>
      <x:c r="E371" s="90"/>
      <x:c r="F371" s="90"/>
      <x:c r="G371" s="90"/>
      <x:c r="H371" s="85"/>
      <x:c r="I371" s="85"/>
      <x:c r="J371" s="85"/>
      <x:c r="K371" s="85"/>
    </x:row>
    <x:row r="372">
      <x:c r="A372" s="88"/>
      <x:c r="B372" s="85"/>
      <x:c r="C372" s="85"/>
      <x:c r="D372" s="85"/>
      <x:c r="E372" s="90"/>
      <x:c r="F372" s="90"/>
      <x:c r="G372" s="90"/>
      <x:c r="H372" s="85"/>
      <x:c r="I372" s="85"/>
      <x:c r="J372" s="85"/>
      <x:c r="K372" s="85"/>
    </x:row>
    <x:row r="373">
      <x:c r="A373" s="88"/>
      <x:c r="B373" s="85"/>
      <x:c r="C373" s="85"/>
      <x:c r="D373" s="85"/>
      <x:c r="E373" s="90"/>
      <x:c r="F373" s="90"/>
      <x:c r="G373" s="90"/>
      <x:c r="H373" s="85"/>
      <x:c r="I373" s="85"/>
      <x:c r="J373" s="85"/>
      <x:c r="K373" s="85"/>
    </x:row>
    <x:row r="374">
      <x:c r="A374" s="88"/>
      <x:c r="B374" s="85"/>
      <x:c r="C374" s="85"/>
      <x:c r="D374" s="85"/>
      <x:c r="E374" s="90"/>
      <x:c r="F374" s="90"/>
      <x:c r="G374" s="90"/>
      <x:c r="H374" s="85"/>
      <x:c r="I374" s="85"/>
      <x:c r="J374" s="85"/>
      <x:c r="K374" s="85"/>
    </x:row>
    <x:row r="375">
      <x:c r="A375" s="88"/>
      <x:c r="B375" s="85"/>
      <x:c r="C375" s="85"/>
      <x:c r="D375" s="85"/>
      <x:c r="E375" s="90"/>
      <x:c r="F375" s="90"/>
      <x:c r="G375" s="90"/>
      <x:c r="H375" s="85"/>
      <x:c r="I375" s="85"/>
      <x:c r="J375" s="85"/>
      <x:c r="K375" s="85"/>
    </x:row>
    <x:row r="376">
      <x:c r="A376" s="88"/>
      <x:c r="B376" s="85"/>
      <x:c r="C376" s="85"/>
      <x:c r="D376" s="85"/>
      <x:c r="E376" s="90"/>
      <x:c r="F376" s="90"/>
      <x:c r="G376" s="90"/>
      <x:c r="H376" s="85"/>
      <x:c r="I376" s="85"/>
      <x:c r="J376" s="85"/>
      <x:c r="K376" s="85"/>
    </x:row>
    <x:row r="377">
      <x:c r="A377" s="88"/>
      <x:c r="B377" s="85"/>
      <x:c r="C377" s="85"/>
      <x:c r="D377" s="85"/>
      <x:c r="E377" s="90"/>
      <x:c r="F377" s="90"/>
      <x:c r="G377" s="90"/>
      <x:c r="H377" s="85"/>
      <x:c r="I377" s="85"/>
      <x:c r="J377" s="85"/>
      <x:c r="K377" s="85"/>
    </x:row>
    <x:row r="378">
      <x:c r="A378" s="88"/>
      <x:c r="B378" s="85"/>
      <x:c r="C378" s="85"/>
      <x:c r="D378" s="85"/>
      <x:c r="E378" s="90"/>
      <x:c r="F378" s="90"/>
      <x:c r="G378" s="90"/>
      <x:c r="H378" s="85"/>
      <x:c r="I378" s="85"/>
      <x:c r="J378" s="85"/>
      <x:c r="K378" s="85"/>
    </x:row>
    <x:row r="379">
      <x:c r="A379" s="88"/>
      <x:c r="B379" s="85"/>
      <x:c r="C379" s="85"/>
      <x:c r="D379" s="85"/>
      <x:c r="E379" s="90"/>
      <x:c r="F379" s="90"/>
      <x:c r="G379" s="90"/>
      <x:c r="H379" s="85"/>
      <x:c r="I379" s="85"/>
      <x:c r="J379" s="85"/>
      <x:c r="K379" s="85"/>
    </x:row>
    <x:row r="380">
      <x:c r="A380" s="88"/>
      <x:c r="B380" s="85"/>
      <x:c r="C380" s="85"/>
      <x:c r="D380" s="85"/>
      <x:c r="E380" s="90"/>
      <x:c r="F380" s="90"/>
      <x:c r="G380" s="90"/>
      <x:c r="H380" s="85"/>
      <x:c r="I380" s="85"/>
      <x:c r="J380" s="85"/>
      <x:c r="K380" s="85"/>
    </x:row>
    <x:row r="381">
      <x:c r="A381" s="88"/>
      <x:c r="B381" s="85"/>
      <x:c r="C381" s="85"/>
      <x:c r="D381" s="85"/>
      <x:c r="E381" s="90"/>
      <x:c r="F381" s="90"/>
      <x:c r="G381" s="90"/>
      <x:c r="H381" s="85"/>
      <x:c r="I381" s="85"/>
      <x:c r="J381" s="85"/>
      <x:c r="K381" s="85"/>
    </x:row>
    <x:row r="382">
      <x:c r="A382" s="88"/>
      <x:c r="B382" s="85"/>
      <x:c r="C382" s="85"/>
      <x:c r="D382" s="85"/>
      <x:c r="E382" s="90"/>
      <x:c r="F382" s="90"/>
      <x:c r="G382" s="90"/>
      <x:c r="H382" s="85"/>
      <x:c r="I382" s="85"/>
      <x:c r="J382" s="85"/>
      <x:c r="K382" s="85"/>
    </x:row>
    <x:row r="383">
      <x:c r="A383" s="88"/>
      <x:c r="B383" s="85"/>
      <x:c r="C383" s="85"/>
      <x:c r="D383" s="85"/>
      <x:c r="E383" s="90"/>
      <x:c r="F383" s="90"/>
      <x:c r="G383" s="90"/>
      <x:c r="H383" s="85"/>
      <x:c r="I383" s="85"/>
      <x:c r="J383" s="85"/>
      <x:c r="K383" s="85"/>
    </x:row>
    <x:row r="384">
      <x:c r="A384" s="88"/>
      <x:c r="B384" s="85"/>
      <x:c r="C384" s="85"/>
      <x:c r="D384" s="85"/>
      <x:c r="E384" s="90"/>
      <x:c r="F384" s="90"/>
      <x:c r="G384" s="90"/>
      <x:c r="H384" s="85"/>
      <x:c r="I384" s="85"/>
      <x:c r="J384" s="85"/>
      <x:c r="K384" s="85"/>
    </x:row>
    <x:row r="385">
      <x:c r="A385" s="88"/>
      <x:c r="B385" s="85"/>
      <x:c r="C385" s="85"/>
      <x:c r="D385" s="85"/>
      <x:c r="E385" s="90"/>
      <x:c r="F385" s="90"/>
      <x:c r="G385" s="90"/>
      <x:c r="H385" s="85"/>
      <x:c r="I385" s="85"/>
      <x:c r="J385" s="85"/>
      <x:c r="K385" s="85"/>
    </x:row>
    <x:row r="386">
      <x:c r="A386" s="88"/>
      <x:c r="B386" s="85"/>
      <x:c r="C386" s="85"/>
      <x:c r="D386" s="85"/>
      <x:c r="E386" s="90"/>
      <x:c r="F386" s="90"/>
      <x:c r="G386" s="90"/>
      <x:c r="H386" s="85"/>
      <x:c r="I386" s="85"/>
      <x:c r="J386" s="85"/>
      <x:c r="K386" s="85"/>
    </x:row>
    <x:row r="387">
      <x:c r="A387" s="88"/>
      <x:c r="B387" s="85"/>
      <x:c r="C387" s="85"/>
      <x:c r="D387" s="85"/>
      <x:c r="E387" s="90"/>
      <x:c r="F387" s="90"/>
      <x:c r="G387" s="90"/>
      <x:c r="H387" s="85"/>
      <x:c r="I387" s="85"/>
      <x:c r="J387" s="85"/>
      <x:c r="K387" s="85"/>
    </x:row>
    <x:row r="388">
      <x:c r="A388" s="88"/>
      <x:c r="B388" s="85"/>
      <x:c r="C388" s="85"/>
      <x:c r="D388" s="85"/>
      <x:c r="E388" s="90"/>
      <x:c r="F388" s="90"/>
      <x:c r="G388" s="90"/>
      <x:c r="H388" s="85"/>
      <x:c r="I388" s="85"/>
      <x:c r="J388" s="85"/>
      <x:c r="K388" s="85"/>
    </x:row>
    <x:row r="389">
      <x:c r="A389" s="88"/>
      <x:c r="B389" s="85"/>
      <x:c r="C389" s="85"/>
      <x:c r="D389" s="85"/>
      <x:c r="E389" s="90"/>
      <x:c r="F389" s="90"/>
      <x:c r="G389" s="90"/>
      <x:c r="H389" s="85"/>
      <x:c r="I389" s="85"/>
      <x:c r="J389" s="85"/>
      <x:c r="K389" s="85"/>
    </x:row>
    <x:row r="390">
      <x:c r="A390" s="88"/>
      <x:c r="B390" s="85"/>
      <x:c r="C390" s="85"/>
      <x:c r="D390" s="85"/>
      <x:c r="E390" s="90"/>
      <x:c r="F390" s="90"/>
      <x:c r="G390" s="90"/>
      <x:c r="H390" s="85"/>
      <x:c r="I390" s="85"/>
      <x:c r="J390" s="85"/>
      <x:c r="K390" s="85"/>
    </x:row>
    <x:row r="391">
      <x:c r="A391" s="88"/>
      <x:c r="B391" s="85"/>
      <x:c r="C391" s="85"/>
      <x:c r="D391" s="85"/>
      <x:c r="E391" s="90"/>
      <x:c r="F391" s="90"/>
      <x:c r="G391" s="90"/>
      <x:c r="H391" s="85"/>
      <x:c r="I391" s="85"/>
      <x:c r="J391" s="85"/>
      <x:c r="K391" s="85"/>
    </x:row>
    <x:row r="392">
      <x:c r="A392" s="88"/>
      <x:c r="B392" s="85"/>
      <x:c r="C392" s="85"/>
      <x:c r="D392" s="85"/>
      <x:c r="E392" s="90"/>
      <x:c r="F392" s="90"/>
      <x:c r="G392" s="90"/>
      <x:c r="H392" s="85"/>
      <x:c r="I392" s="85"/>
      <x:c r="J392" s="85"/>
      <x:c r="K392" s="85"/>
    </x:row>
    <x:row r="393">
      <x:c r="A393" s="88"/>
      <x:c r="B393" s="85"/>
      <x:c r="C393" s="85"/>
      <x:c r="D393" s="85"/>
      <x:c r="E393" s="90"/>
      <x:c r="F393" s="90"/>
      <x:c r="G393" s="90"/>
      <x:c r="H393" s="85"/>
      <x:c r="I393" s="85"/>
      <x:c r="J393" s="85"/>
      <x:c r="K393" s="85"/>
    </x:row>
    <x:row r="394">
      <x:c r="A394" s="88"/>
      <x:c r="B394" s="85"/>
      <x:c r="C394" s="85"/>
      <x:c r="D394" s="85"/>
      <x:c r="E394" s="90"/>
      <x:c r="F394" s="90"/>
      <x:c r="G394" s="90"/>
      <x:c r="H394" s="85"/>
      <x:c r="I394" s="85"/>
      <x:c r="J394" s="85"/>
      <x:c r="K394" s="85"/>
    </x:row>
    <x:row r="395">
      <x:c r="A395" s="88"/>
      <x:c r="B395" s="85"/>
      <x:c r="C395" s="85"/>
      <x:c r="D395" s="85"/>
      <x:c r="E395" s="90"/>
      <x:c r="F395" s="90"/>
      <x:c r="G395" s="90"/>
      <x:c r="H395" s="85"/>
      <x:c r="I395" s="85"/>
      <x:c r="J395" s="85"/>
      <x:c r="K395" s="85"/>
    </x:row>
    <x:row r="396">
      <x:c r="A396" s="88"/>
      <x:c r="B396" s="85"/>
      <x:c r="C396" s="85"/>
      <x:c r="D396" s="85"/>
      <x:c r="E396" s="90"/>
      <x:c r="F396" s="90"/>
      <x:c r="G396" s="90"/>
      <x:c r="H396" s="85"/>
      <x:c r="I396" s="85"/>
      <x:c r="J396" s="85"/>
      <x:c r="K396" s="85"/>
    </x:row>
    <x:row r="397">
      <x:c r="A397" s="88"/>
      <x:c r="B397" s="85"/>
      <x:c r="C397" s="85"/>
      <x:c r="D397" s="85"/>
      <x:c r="E397" s="90"/>
      <x:c r="F397" s="90"/>
      <x:c r="G397" s="90"/>
      <x:c r="H397" s="85"/>
      <x:c r="I397" s="85"/>
      <x:c r="J397" s="85"/>
      <x:c r="K397" s="85"/>
    </x:row>
    <x:row r="398">
      <x:c r="A398" s="88"/>
      <x:c r="B398" s="85"/>
      <x:c r="C398" s="85"/>
      <x:c r="D398" s="85"/>
      <x:c r="E398" s="90"/>
      <x:c r="F398" s="90"/>
      <x:c r="G398" s="90"/>
      <x:c r="H398" s="85"/>
      <x:c r="I398" s="85"/>
      <x:c r="J398" s="85"/>
      <x:c r="K398" s="85"/>
    </x:row>
    <x:row r="399">
      <x:c r="A399" s="88"/>
      <x:c r="B399" s="85"/>
      <x:c r="C399" s="85"/>
      <x:c r="D399" s="85"/>
      <x:c r="E399" s="90"/>
      <x:c r="F399" s="90"/>
      <x:c r="G399" s="90"/>
      <x:c r="H399" s="85"/>
      <x:c r="I399" s="85"/>
      <x:c r="J399" s="85"/>
      <x:c r="K399" s="85"/>
    </x:row>
    <x:row r="400">
      <x:c r="A400" s="88"/>
      <x:c r="B400" s="85"/>
      <x:c r="C400" s="85"/>
      <x:c r="D400" s="85"/>
      <x:c r="E400" s="90"/>
      <x:c r="F400" s="90"/>
      <x:c r="G400" s="90"/>
      <x:c r="H400" s="85"/>
      <x:c r="I400" s="85"/>
      <x:c r="J400" s="85"/>
      <x:c r="K400" s="85"/>
    </x:row>
    <x:row r="401">
      <x:c r="A401" s="88"/>
      <x:c r="B401" s="85"/>
      <x:c r="C401" s="85"/>
      <x:c r="D401" s="85"/>
      <x:c r="E401" s="90"/>
      <x:c r="F401" s="90"/>
      <x:c r="G401" s="90"/>
      <x:c r="H401" s="85"/>
      <x:c r="I401" s="85"/>
      <x:c r="J401" s="85"/>
      <x:c r="K401" s="85"/>
    </x:row>
    <x:row r="402">
      <x:c r="A402" s="88"/>
      <x:c r="B402" s="85"/>
      <x:c r="C402" s="85"/>
      <x:c r="D402" s="85"/>
      <x:c r="E402" s="90"/>
      <x:c r="F402" s="90"/>
      <x:c r="G402" s="90"/>
      <x:c r="H402" s="85"/>
      <x:c r="I402" s="85"/>
      <x:c r="J402" s="85"/>
      <x:c r="K402" s="85"/>
    </x:row>
    <x:row r="403">
      <x:c r="A403" s="88"/>
      <x:c r="B403" s="85"/>
      <x:c r="C403" s="85"/>
      <x:c r="D403" s="85"/>
      <x:c r="E403" s="90"/>
      <x:c r="F403" s="90"/>
      <x:c r="G403" s="90"/>
      <x:c r="H403" s="85"/>
      <x:c r="I403" s="85"/>
      <x:c r="J403" s="85"/>
      <x:c r="K403" s="85"/>
    </x:row>
    <x:row r="404">
      <x:c r="A404" s="88"/>
      <x:c r="B404" s="85"/>
      <x:c r="C404" s="85"/>
      <x:c r="D404" s="85"/>
      <x:c r="E404" s="90"/>
      <x:c r="F404" s="90"/>
      <x:c r="G404" s="90"/>
      <x:c r="H404" s="85"/>
      <x:c r="I404" s="85"/>
      <x:c r="J404" s="85"/>
      <x:c r="K404" s="85"/>
    </x:row>
    <x:row r="405">
      <x:c r="A405" s="88"/>
      <x:c r="B405" s="85"/>
      <x:c r="C405" s="85"/>
      <x:c r="D405" s="85"/>
      <x:c r="E405" s="90"/>
      <x:c r="F405" s="90"/>
      <x:c r="G405" s="90"/>
      <x:c r="H405" s="85"/>
      <x:c r="I405" s="85"/>
      <x:c r="J405" s="85"/>
      <x:c r="K405" s="85"/>
    </x:row>
    <x:row r="406">
      <x:c r="A406" s="88"/>
      <x:c r="B406" s="85"/>
      <x:c r="C406" s="85"/>
      <x:c r="D406" s="85"/>
      <x:c r="E406" s="90"/>
      <x:c r="F406" s="90"/>
      <x:c r="G406" s="90"/>
      <x:c r="H406" s="85"/>
      <x:c r="I406" s="85"/>
      <x:c r="J406" s="85"/>
      <x:c r="K406" s="85"/>
    </x:row>
    <x:row r="407">
      <x:c r="A407" s="88"/>
      <x:c r="B407" s="85"/>
      <x:c r="C407" s="85"/>
      <x:c r="D407" s="85"/>
      <x:c r="E407" s="90"/>
      <x:c r="F407" s="90"/>
      <x:c r="G407" s="90"/>
      <x:c r="H407" s="85"/>
      <x:c r="I407" s="85"/>
      <x:c r="J407" s="85"/>
      <x:c r="K407" s="85"/>
    </x:row>
    <x:row r="408">
      <x:c r="A408" s="88"/>
      <x:c r="B408" s="85"/>
      <x:c r="C408" s="85"/>
      <x:c r="D408" s="85"/>
      <x:c r="E408" s="90"/>
      <x:c r="F408" s="90"/>
      <x:c r="G408" s="90"/>
      <x:c r="H408" s="85"/>
      <x:c r="I408" s="85"/>
      <x:c r="J408" s="85"/>
      <x:c r="K408" s="85"/>
    </x:row>
    <x:row r="409">
      <x:c r="A409" s="88"/>
      <x:c r="B409" s="85"/>
      <x:c r="C409" s="85"/>
      <x:c r="D409" s="85"/>
      <x:c r="E409" s="90"/>
      <x:c r="F409" s="90"/>
      <x:c r="G409" s="90"/>
      <x:c r="H409" s="85"/>
      <x:c r="I409" s="85"/>
      <x:c r="J409" s="85"/>
      <x:c r="K409" s="85"/>
    </x:row>
    <x:row r="410">
      <x:c r="A410" s="88"/>
      <x:c r="B410" s="85"/>
      <x:c r="C410" s="85"/>
      <x:c r="D410" s="85"/>
      <x:c r="E410" s="90"/>
      <x:c r="F410" s="90"/>
      <x:c r="G410" s="90"/>
      <x:c r="H410" s="85"/>
      <x:c r="I410" s="85"/>
      <x:c r="J410" s="85"/>
      <x:c r="K410" s="85"/>
    </x:row>
    <x:row r="411">
      <x:c r="A411" s="88"/>
      <x:c r="B411" s="85"/>
      <x:c r="C411" s="85"/>
      <x:c r="D411" s="85"/>
      <x:c r="E411" s="90"/>
      <x:c r="F411" s="90"/>
      <x:c r="G411" s="90"/>
      <x:c r="H411" s="85"/>
      <x:c r="I411" s="85"/>
      <x:c r="J411" s="85"/>
      <x:c r="K411" s="85"/>
    </x:row>
    <x:row r="412">
      <x:c r="A412" s="88"/>
      <x:c r="B412" s="85"/>
      <x:c r="C412" s="85"/>
      <x:c r="D412" s="85"/>
      <x:c r="E412" s="90"/>
      <x:c r="F412" s="90"/>
      <x:c r="G412" s="90"/>
      <x:c r="H412" s="85"/>
      <x:c r="I412" s="85"/>
      <x:c r="J412" s="85"/>
      <x:c r="K412" s="85"/>
    </x:row>
    <x:row r="413">
      <x:c r="A413" s="88"/>
      <x:c r="B413" s="85"/>
      <x:c r="C413" s="85"/>
      <x:c r="D413" s="85"/>
      <x:c r="E413" s="90"/>
      <x:c r="F413" s="90"/>
      <x:c r="G413" s="90"/>
      <x:c r="H413" s="85"/>
      <x:c r="I413" s="85"/>
      <x:c r="J413" s="85"/>
      <x:c r="K413" s="85"/>
    </x:row>
    <x:row r="414">
      <x:c r="A414" s="88"/>
      <x:c r="B414" s="85"/>
      <x:c r="C414" s="85"/>
      <x:c r="D414" s="85"/>
      <x:c r="E414" s="90"/>
      <x:c r="F414" s="90"/>
      <x:c r="G414" s="90"/>
      <x:c r="H414" s="85"/>
      <x:c r="I414" s="85"/>
      <x:c r="J414" s="85"/>
      <x:c r="K414" s="85"/>
    </x:row>
    <x:row r="415">
      <x:c r="A415" s="88"/>
      <x:c r="B415" s="85"/>
      <x:c r="C415" s="85"/>
      <x:c r="D415" s="85"/>
      <x:c r="E415" s="90"/>
      <x:c r="F415" s="90"/>
      <x:c r="G415" s="90"/>
      <x:c r="H415" s="85"/>
      <x:c r="I415" s="85"/>
      <x:c r="J415" s="85"/>
      <x:c r="K415" s="85"/>
    </x:row>
    <x:row r="416">
      <x:c r="A416" s="88"/>
      <x:c r="B416" s="85"/>
      <x:c r="C416" s="85"/>
      <x:c r="D416" s="85"/>
      <x:c r="E416" s="90"/>
      <x:c r="F416" s="90"/>
      <x:c r="G416" s="90"/>
      <x:c r="H416" s="85"/>
      <x:c r="I416" s="85"/>
      <x:c r="J416" s="85"/>
      <x:c r="K416" s="85"/>
    </x:row>
    <x:row r="417">
      <x:c r="A417" s="88"/>
      <x:c r="B417" s="85"/>
      <x:c r="C417" s="85"/>
      <x:c r="D417" s="85"/>
      <x:c r="E417" s="90"/>
      <x:c r="F417" s="90"/>
      <x:c r="G417" s="90"/>
      <x:c r="H417" s="85"/>
      <x:c r="I417" s="85"/>
      <x:c r="J417" s="85"/>
      <x:c r="K417" s="85"/>
    </x:row>
    <x:row r="418">
      <x:c r="A418" s="88"/>
      <x:c r="B418" s="85"/>
      <x:c r="C418" s="85"/>
      <x:c r="D418" s="85"/>
      <x:c r="E418" s="90"/>
      <x:c r="F418" s="90"/>
      <x:c r="G418" s="90"/>
      <x:c r="H418" s="85"/>
      <x:c r="I418" s="85"/>
      <x:c r="J418" s="85"/>
      <x:c r="K418" s="85"/>
    </x:row>
    <x:row r="419">
      <x:c r="A419" s="88"/>
      <x:c r="B419" s="85"/>
      <x:c r="C419" s="85"/>
      <x:c r="D419" s="85"/>
      <x:c r="E419" s="90"/>
      <x:c r="F419" s="90"/>
      <x:c r="G419" s="90"/>
      <x:c r="H419" s="85"/>
      <x:c r="I419" s="85"/>
      <x:c r="J419" s="85"/>
      <x:c r="K419" s="85"/>
    </x:row>
    <x:row r="420">
      <x:c r="A420" s="88"/>
      <x:c r="B420" s="85"/>
      <x:c r="C420" s="85"/>
      <x:c r="D420" s="85"/>
      <x:c r="E420" s="90"/>
      <x:c r="F420" s="90"/>
      <x:c r="G420" s="90"/>
      <x:c r="H420" s="85"/>
      <x:c r="I420" s="85"/>
      <x:c r="J420" s="85"/>
      <x:c r="K420" s="85"/>
    </x:row>
    <x:row r="421">
      <x:c r="A421" s="88"/>
      <x:c r="B421" s="85"/>
      <x:c r="C421" s="85"/>
      <x:c r="D421" s="85"/>
      <x:c r="E421" s="90"/>
      <x:c r="F421" s="90"/>
      <x:c r="G421" s="90"/>
      <x:c r="H421" s="85"/>
      <x:c r="I421" s="85"/>
      <x:c r="J421" s="85"/>
      <x:c r="K421" s="85"/>
    </x:row>
    <x:row r="422">
      <x:c r="A422" s="88"/>
      <x:c r="B422" s="85"/>
      <x:c r="C422" s="85"/>
      <x:c r="D422" s="85"/>
      <x:c r="E422" s="90"/>
      <x:c r="F422" s="90"/>
      <x:c r="G422" s="90"/>
      <x:c r="H422" s="85"/>
      <x:c r="I422" s="85"/>
      <x:c r="J422" s="85"/>
      <x:c r="K422" s="85"/>
    </x:row>
    <x:row r="423">
      <x:c r="A423" s="88"/>
      <x:c r="B423" s="85"/>
      <x:c r="C423" s="85"/>
      <x:c r="D423" s="85"/>
      <x:c r="E423" s="90"/>
      <x:c r="F423" s="90"/>
      <x:c r="G423" s="90"/>
      <x:c r="H423" s="85"/>
      <x:c r="I423" s="85"/>
      <x:c r="J423" s="85"/>
      <x:c r="K423" s="85"/>
    </x:row>
    <x:row r="424">
      <x:c r="A424" s="88"/>
      <x:c r="B424" s="85"/>
      <x:c r="C424" s="85"/>
      <x:c r="D424" s="85"/>
      <x:c r="E424" s="90"/>
      <x:c r="F424" s="90"/>
      <x:c r="G424" s="90"/>
      <x:c r="H424" s="85"/>
      <x:c r="I424" s="85"/>
      <x:c r="J424" s="85"/>
      <x:c r="K424" s="85"/>
    </x:row>
    <x:row r="425">
      <x:c r="A425" s="88"/>
      <x:c r="B425" s="85"/>
      <x:c r="C425" s="85"/>
      <x:c r="D425" s="85"/>
      <x:c r="E425" s="90"/>
      <x:c r="F425" s="90"/>
      <x:c r="G425" s="90"/>
      <x:c r="H425" s="85"/>
      <x:c r="I425" s="85"/>
      <x:c r="J425" s="85"/>
      <x:c r="K425" s="85"/>
    </x:row>
    <x:row r="426">
      <x:c r="A426" s="88"/>
      <x:c r="B426" s="85"/>
      <x:c r="C426" s="85"/>
      <x:c r="D426" s="85"/>
      <x:c r="E426" s="90"/>
      <x:c r="F426" s="90"/>
      <x:c r="G426" s="90"/>
      <x:c r="H426" s="85"/>
      <x:c r="I426" s="85"/>
      <x:c r="J426" s="85"/>
      <x:c r="K426" s="85"/>
    </x:row>
    <x:row r="427">
      <x:c r="A427" s="88"/>
      <x:c r="B427" s="85"/>
      <x:c r="C427" s="85"/>
      <x:c r="D427" s="85"/>
      <x:c r="E427" s="90"/>
      <x:c r="F427" s="90"/>
      <x:c r="G427" s="90"/>
      <x:c r="H427" s="85"/>
      <x:c r="I427" s="85"/>
      <x:c r="J427" s="85"/>
      <x:c r="K427" s="85"/>
    </x:row>
    <x:row r="428">
      <x:c r="A428" s="88"/>
      <x:c r="B428" s="85"/>
      <x:c r="C428" s="85"/>
      <x:c r="D428" s="85"/>
      <x:c r="E428" s="90"/>
      <x:c r="F428" s="90"/>
      <x:c r="G428" s="90"/>
      <x:c r="H428" s="85"/>
      <x:c r="I428" s="85"/>
      <x:c r="J428" s="85"/>
      <x:c r="K428" s="85"/>
    </x:row>
    <x:row r="429">
      <x:c r="A429" s="88"/>
      <x:c r="B429" s="85"/>
      <x:c r="C429" s="85"/>
      <x:c r="D429" s="85"/>
      <x:c r="E429" s="90"/>
      <x:c r="F429" s="90"/>
      <x:c r="G429" s="90"/>
      <x:c r="H429" s="85"/>
      <x:c r="I429" s="85"/>
      <x:c r="J429" s="85"/>
      <x:c r="K429" s="85"/>
    </x:row>
    <x:row r="430">
      <x:c r="A430" s="88"/>
      <x:c r="B430" s="85"/>
      <x:c r="C430" s="85"/>
      <x:c r="D430" s="85"/>
      <x:c r="E430" s="90"/>
      <x:c r="F430" s="90"/>
      <x:c r="G430" s="90"/>
      <x:c r="H430" s="85"/>
      <x:c r="I430" s="85"/>
      <x:c r="J430" s="85"/>
      <x:c r="K430" s="85"/>
    </x:row>
    <x:row r="431">
      <x:c r="A431" s="88"/>
      <x:c r="B431" s="85"/>
      <x:c r="C431" s="85"/>
      <x:c r="D431" s="85"/>
      <x:c r="E431" s="90"/>
      <x:c r="F431" s="90"/>
      <x:c r="G431" s="90"/>
      <x:c r="H431" s="85"/>
      <x:c r="I431" s="85"/>
      <x:c r="J431" s="85"/>
      <x:c r="K431" s="85"/>
    </x:row>
    <x:row r="432">
      <x:c r="A432" s="88"/>
      <x:c r="B432" s="85"/>
      <x:c r="C432" s="85"/>
      <x:c r="D432" s="85"/>
      <x:c r="E432" s="90"/>
      <x:c r="F432" s="90"/>
      <x:c r="G432" s="90"/>
      <x:c r="H432" s="85"/>
      <x:c r="I432" s="85"/>
      <x:c r="J432" s="85"/>
      <x:c r="K432" s="85"/>
    </x:row>
    <x:row r="433">
      <x:c r="A433" s="88"/>
      <x:c r="B433" s="85"/>
      <x:c r="C433" s="85"/>
      <x:c r="D433" s="85"/>
      <x:c r="E433" s="90"/>
      <x:c r="F433" s="90"/>
      <x:c r="G433" s="90"/>
      <x:c r="H433" s="85"/>
      <x:c r="I433" s="85"/>
      <x:c r="J433" s="85"/>
      <x:c r="K433" s="85"/>
    </x:row>
    <x:row r="434">
      <x:c r="A434" s="88"/>
      <x:c r="B434" s="85"/>
      <x:c r="C434" s="85"/>
      <x:c r="D434" s="85"/>
      <x:c r="E434" s="90"/>
      <x:c r="F434" s="90"/>
      <x:c r="G434" s="90"/>
      <x:c r="H434" s="85"/>
      <x:c r="I434" s="85"/>
      <x:c r="J434" s="85"/>
      <x:c r="K434" s="85"/>
    </x:row>
    <x:row r="435">
      <x:c r="A435" s="88"/>
      <x:c r="B435" s="85"/>
      <x:c r="C435" s="85"/>
      <x:c r="D435" s="85"/>
      <x:c r="E435" s="90"/>
      <x:c r="F435" s="90"/>
      <x:c r="G435" s="90"/>
      <x:c r="H435" s="85"/>
      <x:c r="I435" s="85"/>
      <x:c r="J435" s="85"/>
      <x:c r="K435" s="85"/>
    </x:row>
    <x:row r="436">
      <x:c r="A436" s="88"/>
      <x:c r="B436" s="85"/>
      <x:c r="C436" s="85"/>
      <x:c r="D436" s="85"/>
      <x:c r="E436" s="90"/>
      <x:c r="F436" s="90"/>
      <x:c r="G436" s="90"/>
      <x:c r="H436" s="85"/>
      <x:c r="I436" s="85"/>
      <x:c r="J436" s="85"/>
      <x:c r="K436" s="85"/>
    </x:row>
    <x:row r="437">
      <x:c r="A437" s="88"/>
      <x:c r="B437" s="85"/>
      <x:c r="C437" s="85"/>
      <x:c r="D437" s="85"/>
      <x:c r="E437" s="90"/>
      <x:c r="F437" s="90"/>
      <x:c r="G437" s="90"/>
      <x:c r="H437" s="85"/>
      <x:c r="I437" s="85"/>
      <x:c r="J437" s="85"/>
      <x:c r="K437" s="85"/>
    </x:row>
    <x:row r="438">
      <x:c r="A438" s="88"/>
      <x:c r="B438" s="85"/>
      <x:c r="C438" s="85"/>
      <x:c r="D438" s="85"/>
      <x:c r="E438" s="90"/>
      <x:c r="F438" s="90"/>
      <x:c r="G438" s="90"/>
      <x:c r="H438" s="85"/>
      <x:c r="I438" s="85"/>
      <x:c r="J438" s="85"/>
      <x:c r="K438" s="85"/>
    </x:row>
    <x:row r="439">
      <x:c r="A439" s="88"/>
      <x:c r="B439" s="85"/>
      <x:c r="C439" s="85"/>
      <x:c r="D439" s="85"/>
      <x:c r="E439" s="90"/>
      <x:c r="F439" s="90"/>
      <x:c r="G439" s="90"/>
      <x:c r="H439" s="85"/>
      <x:c r="I439" s="85"/>
      <x:c r="J439" s="85"/>
      <x:c r="K439" s="85"/>
    </x:row>
    <x:row r="440">
      <x:c r="A440" s="88"/>
      <x:c r="B440" s="85"/>
      <x:c r="C440" s="85"/>
      <x:c r="D440" s="85"/>
      <x:c r="E440" s="90"/>
      <x:c r="F440" s="90"/>
      <x:c r="G440" s="90"/>
      <x:c r="H440" s="85"/>
      <x:c r="I440" s="85"/>
      <x:c r="J440" s="85"/>
      <x:c r="K440" s="85"/>
    </x:row>
    <x:row r="441">
      <x:c r="A441" s="88"/>
      <x:c r="B441" s="85"/>
      <x:c r="C441" s="85"/>
      <x:c r="D441" s="85"/>
      <x:c r="E441" s="90"/>
      <x:c r="F441" s="90"/>
      <x:c r="G441" s="90"/>
      <x:c r="H441" s="85"/>
      <x:c r="I441" s="85"/>
      <x:c r="J441" s="85"/>
      <x:c r="K441" s="85"/>
    </x:row>
    <x:row r="442">
      <x:c r="A442" s="88"/>
      <x:c r="B442" s="85"/>
      <x:c r="C442" s="85"/>
      <x:c r="D442" s="85"/>
      <x:c r="E442" s="90"/>
      <x:c r="F442" s="90"/>
      <x:c r="G442" s="90"/>
      <x:c r="H442" s="85"/>
      <x:c r="I442" s="85"/>
      <x:c r="J442" s="85"/>
      <x:c r="K442" s="85"/>
    </x:row>
    <x:row r="443">
      <x:c r="A443" s="88"/>
      <x:c r="B443" s="85"/>
      <x:c r="C443" s="85"/>
      <x:c r="D443" s="85"/>
      <x:c r="E443" s="90"/>
      <x:c r="F443" s="90"/>
      <x:c r="G443" s="90"/>
      <x:c r="H443" s="85"/>
      <x:c r="I443" s="85"/>
      <x:c r="J443" s="85"/>
      <x:c r="K443" s="85"/>
    </x:row>
    <x:row r="444">
      <x:c r="A444" s="88"/>
      <x:c r="B444" s="85"/>
      <x:c r="C444" s="85"/>
      <x:c r="D444" s="85"/>
      <x:c r="E444" s="90"/>
      <x:c r="F444" s="90"/>
      <x:c r="G444" s="90"/>
      <x:c r="H444" s="85"/>
      <x:c r="I444" s="85"/>
      <x:c r="J444" s="85"/>
      <x:c r="K444" s="85"/>
    </x:row>
    <x:row r="445">
      <x:c r="A445" s="88"/>
      <x:c r="B445" s="85"/>
      <x:c r="C445" s="85"/>
      <x:c r="D445" s="85"/>
      <x:c r="E445" s="90"/>
      <x:c r="F445" s="90"/>
      <x:c r="G445" s="90"/>
      <x:c r="H445" s="85"/>
      <x:c r="I445" s="85"/>
      <x:c r="J445" s="85"/>
      <x:c r="K445" s="85"/>
    </x:row>
    <x:row r="446">
      <x:c r="A446" s="88"/>
      <x:c r="B446" s="85"/>
      <x:c r="C446" s="85"/>
      <x:c r="D446" s="85"/>
      <x:c r="E446" s="90"/>
      <x:c r="F446" s="90"/>
      <x:c r="G446" s="90"/>
      <x:c r="H446" s="85"/>
      <x:c r="I446" s="85"/>
      <x:c r="J446" s="85"/>
      <x:c r="K446" s="85"/>
    </x:row>
    <x:row r="447">
      <x:c r="A447" s="88"/>
      <x:c r="B447" s="85"/>
      <x:c r="C447" s="85"/>
      <x:c r="D447" s="85"/>
      <x:c r="E447" s="90"/>
      <x:c r="F447" s="90"/>
      <x:c r="G447" s="90"/>
      <x:c r="H447" s="85"/>
      <x:c r="I447" s="85"/>
      <x:c r="J447" s="85"/>
      <x:c r="K447" s="85"/>
    </x:row>
    <x:row r="448">
      <x:c r="A448" s="88"/>
      <x:c r="B448" s="85"/>
      <x:c r="C448" s="85"/>
      <x:c r="D448" s="85"/>
      <x:c r="E448" s="90"/>
      <x:c r="F448" s="90"/>
      <x:c r="G448" s="90"/>
      <x:c r="H448" s="85"/>
      <x:c r="I448" s="85"/>
      <x:c r="J448" s="85"/>
      <x:c r="K448" s="85"/>
    </x:row>
    <x:row r="449">
      <x:c r="A449" s="88"/>
      <x:c r="B449" s="85"/>
      <x:c r="C449" s="85"/>
      <x:c r="D449" s="85"/>
      <x:c r="E449" s="90"/>
      <x:c r="F449" s="90"/>
      <x:c r="G449" s="90"/>
      <x:c r="H449" s="85"/>
      <x:c r="I449" s="85"/>
      <x:c r="J449" s="85"/>
      <x:c r="K449" s="85"/>
    </x:row>
    <x:row r="450">
      <x:c r="A450" s="88"/>
      <x:c r="B450" s="85"/>
      <x:c r="C450" s="85"/>
      <x:c r="D450" s="85"/>
      <x:c r="E450" s="90"/>
      <x:c r="F450" s="90"/>
      <x:c r="G450" s="90"/>
      <x:c r="H450" s="85"/>
      <x:c r="I450" s="85"/>
      <x:c r="J450" s="85"/>
      <x:c r="K450" s="85"/>
    </x:row>
    <x:row r="451">
      <x:c r="A451" s="88"/>
      <x:c r="B451" s="85"/>
      <x:c r="C451" s="85"/>
      <x:c r="D451" s="85"/>
      <x:c r="E451" s="90"/>
      <x:c r="F451" s="90"/>
      <x:c r="G451" s="90"/>
      <x:c r="H451" s="85"/>
      <x:c r="I451" s="85"/>
      <x:c r="J451" s="85"/>
      <x:c r="K451" s="85"/>
    </x:row>
    <x:row r="452">
      <x:c r="A452" s="88"/>
      <x:c r="B452" s="85"/>
      <x:c r="C452" s="85"/>
      <x:c r="D452" s="85"/>
      <x:c r="E452" s="90"/>
      <x:c r="F452" s="90"/>
      <x:c r="G452" s="90"/>
      <x:c r="H452" s="85"/>
      <x:c r="I452" s="85"/>
      <x:c r="J452" s="85"/>
      <x:c r="K452" s="85"/>
    </x:row>
    <x:row r="453">
      <x:c r="A453" s="88"/>
      <x:c r="B453" s="85"/>
      <x:c r="C453" s="85"/>
      <x:c r="D453" s="85"/>
      <x:c r="E453" s="90"/>
      <x:c r="F453" s="90"/>
      <x:c r="G453" s="90"/>
      <x:c r="H453" s="85"/>
      <x:c r="I453" s="85"/>
      <x:c r="J453" s="85"/>
      <x:c r="K453" s="85"/>
    </x:row>
    <x:row r="454">
      <x:c r="A454" s="88"/>
      <x:c r="B454" s="85"/>
      <x:c r="C454" s="85"/>
      <x:c r="D454" s="85"/>
      <x:c r="E454" s="90"/>
      <x:c r="F454" s="90"/>
      <x:c r="G454" s="90"/>
      <x:c r="H454" s="85"/>
      <x:c r="I454" s="85"/>
      <x:c r="J454" s="85"/>
      <x:c r="K454" s="85"/>
    </x:row>
    <x:row r="455">
      <x:c r="A455" s="88"/>
      <x:c r="B455" s="85"/>
      <x:c r="C455" s="85"/>
      <x:c r="D455" s="85"/>
      <x:c r="E455" s="90"/>
      <x:c r="F455" s="90"/>
      <x:c r="G455" s="90"/>
      <x:c r="H455" s="85"/>
      <x:c r="I455" s="85"/>
      <x:c r="J455" s="85"/>
      <x:c r="K455" s="85"/>
    </x:row>
    <x:row r="456">
      <x:c r="A456" s="88"/>
      <x:c r="B456" s="85"/>
      <x:c r="C456" s="85"/>
      <x:c r="D456" s="85"/>
      <x:c r="E456" s="90"/>
      <x:c r="F456" s="90"/>
      <x:c r="G456" s="90"/>
      <x:c r="H456" s="85"/>
      <x:c r="I456" s="85"/>
      <x:c r="J456" s="85"/>
      <x:c r="K456" s="85"/>
    </x:row>
    <x:row r="457">
      <x:c r="A457" s="88"/>
      <x:c r="B457" s="85"/>
      <x:c r="C457" s="85"/>
      <x:c r="D457" s="85"/>
      <x:c r="E457" s="90"/>
      <x:c r="F457" s="90"/>
      <x:c r="G457" s="90"/>
      <x:c r="H457" s="85"/>
      <x:c r="I457" s="85"/>
      <x:c r="J457" s="85"/>
      <x:c r="K457" s="85"/>
    </x:row>
    <x:row r="458">
      <x:c r="A458" s="88"/>
      <x:c r="B458" s="85"/>
      <x:c r="C458" s="85"/>
      <x:c r="D458" s="85"/>
      <x:c r="E458" s="90"/>
      <x:c r="F458" s="90"/>
      <x:c r="G458" s="90"/>
      <x:c r="H458" s="85"/>
      <x:c r="I458" s="85"/>
      <x:c r="J458" s="85"/>
      <x:c r="K458" s="85"/>
    </x:row>
    <x:row r="459">
      <x:c r="A459" s="88"/>
      <x:c r="B459" s="85"/>
      <x:c r="C459" s="85"/>
      <x:c r="D459" s="85"/>
      <x:c r="E459" s="90"/>
      <x:c r="F459" s="90"/>
      <x:c r="G459" s="90"/>
      <x:c r="H459" s="85"/>
      <x:c r="I459" s="85"/>
      <x:c r="J459" s="85"/>
      <x:c r="K459" s="85"/>
    </x:row>
    <x:row r="460">
      <x:c r="A460" s="88"/>
      <x:c r="B460" s="85"/>
      <x:c r="C460" s="85"/>
      <x:c r="D460" s="85"/>
      <x:c r="E460" s="90"/>
      <x:c r="F460" s="90"/>
      <x:c r="G460" s="90"/>
      <x:c r="H460" s="85"/>
      <x:c r="I460" s="85"/>
      <x:c r="J460" s="85"/>
      <x:c r="K460" s="85"/>
    </x:row>
    <x:row r="461">
      <x:c r="A461" s="88"/>
      <x:c r="B461" s="85"/>
      <x:c r="C461" s="85"/>
      <x:c r="D461" s="85"/>
      <x:c r="E461" s="90"/>
      <x:c r="F461" s="90"/>
      <x:c r="G461" s="90"/>
      <x:c r="H461" s="85"/>
      <x:c r="I461" s="85"/>
      <x:c r="J461" s="85"/>
      <x:c r="K461" s="85"/>
    </x:row>
    <x:row r="462">
      <x:c r="A462" s="88"/>
      <x:c r="B462" s="85"/>
      <x:c r="C462" s="85"/>
      <x:c r="D462" s="85"/>
      <x:c r="E462" s="90"/>
      <x:c r="F462" s="90"/>
      <x:c r="G462" s="90"/>
      <x:c r="H462" s="85"/>
      <x:c r="I462" s="85"/>
      <x:c r="J462" s="85"/>
      <x:c r="K462" s="85"/>
    </x:row>
    <x:row r="463">
      <x:c r="A463" s="88"/>
      <x:c r="B463" s="85"/>
      <x:c r="C463" s="85"/>
      <x:c r="D463" s="85"/>
      <x:c r="E463" s="90"/>
      <x:c r="F463" s="90"/>
      <x:c r="G463" s="90"/>
      <x:c r="H463" s="85"/>
      <x:c r="I463" s="85"/>
      <x:c r="J463" s="85"/>
      <x:c r="K463" s="85"/>
    </x:row>
    <x:row r="464">
      <x:c r="A464" s="88"/>
      <x:c r="B464" s="85"/>
      <x:c r="C464" s="85"/>
      <x:c r="D464" s="85"/>
      <x:c r="E464" s="90"/>
      <x:c r="F464" s="90"/>
      <x:c r="G464" s="90"/>
      <x:c r="H464" s="85"/>
      <x:c r="I464" s="85"/>
      <x:c r="J464" s="85"/>
      <x:c r="K464" s="85"/>
    </x:row>
    <x:row r="465">
      <x:c r="A465" s="88"/>
      <x:c r="B465" s="85"/>
      <x:c r="C465" s="85"/>
      <x:c r="D465" s="85"/>
      <x:c r="E465" s="90"/>
      <x:c r="F465" s="90"/>
      <x:c r="G465" s="90"/>
      <x:c r="H465" s="85"/>
      <x:c r="I465" s="85"/>
      <x:c r="J465" s="85"/>
      <x:c r="K465" s="85"/>
    </x:row>
    <x:row r="466">
      <x:c r="A466" s="88"/>
      <x:c r="B466" s="85"/>
      <x:c r="C466" s="85"/>
      <x:c r="D466" s="85"/>
      <x:c r="E466" s="90"/>
      <x:c r="F466" s="90"/>
      <x:c r="G466" s="90"/>
      <x:c r="H466" s="85"/>
      <x:c r="I466" s="85"/>
      <x:c r="J466" s="85"/>
      <x:c r="K466" s="85"/>
    </x:row>
    <x:row r="467">
      <x:c r="A467" s="88"/>
      <x:c r="B467" s="85"/>
      <x:c r="C467" s="85"/>
      <x:c r="D467" s="85"/>
      <x:c r="E467" s="90"/>
      <x:c r="F467" s="90"/>
      <x:c r="G467" s="90"/>
      <x:c r="H467" s="85"/>
      <x:c r="I467" s="85"/>
      <x:c r="J467" s="85"/>
      <x:c r="K467" s="85"/>
    </x:row>
    <x:row r="468">
      <x:c r="A468" s="88"/>
      <x:c r="B468" s="85"/>
      <x:c r="C468" s="85"/>
      <x:c r="D468" s="85"/>
      <x:c r="E468" s="90"/>
      <x:c r="F468" s="90"/>
      <x:c r="G468" s="90"/>
      <x:c r="H468" s="85"/>
      <x:c r="I468" s="85"/>
      <x:c r="J468" s="85"/>
      <x:c r="K468" s="85"/>
    </x:row>
    <x:row r="469">
      <x:c r="A469" s="88"/>
      <x:c r="B469" s="85"/>
      <x:c r="C469" s="85"/>
      <x:c r="D469" s="85"/>
      <x:c r="E469" s="90"/>
      <x:c r="F469" s="90"/>
      <x:c r="G469" s="90"/>
      <x:c r="H469" s="85"/>
      <x:c r="I469" s="85"/>
      <x:c r="J469" s="85"/>
      <x:c r="K469" s="85"/>
    </x:row>
    <x:row r="470">
      <x:c r="A470" s="88"/>
      <x:c r="B470" s="85"/>
      <x:c r="C470" s="85"/>
      <x:c r="D470" s="85"/>
      <x:c r="E470" s="90"/>
      <x:c r="F470" s="90"/>
      <x:c r="G470" s="90"/>
      <x:c r="H470" s="85"/>
      <x:c r="I470" s="85"/>
      <x:c r="J470" s="85"/>
      <x:c r="K470" s="85"/>
    </x:row>
    <x:row r="471">
      <x:c r="A471" s="88"/>
      <x:c r="B471" s="85"/>
      <x:c r="C471" s="85"/>
      <x:c r="D471" s="85"/>
      <x:c r="E471" s="90"/>
      <x:c r="F471" s="90"/>
      <x:c r="G471" s="90"/>
      <x:c r="H471" s="85"/>
      <x:c r="I471" s="85"/>
      <x:c r="J471" s="85"/>
      <x:c r="K471" s="85"/>
    </x:row>
    <x:row r="472">
      <x:c r="A472" s="88"/>
      <x:c r="B472" s="85"/>
      <x:c r="C472" s="85"/>
      <x:c r="D472" s="85"/>
      <x:c r="E472" s="90"/>
      <x:c r="F472" s="90"/>
      <x:c r="G472" s="90"/>
      <x:c r="H472" s="85"/>
      <x:c r="I472" s="85"/>
      <x:c r="J472" s="85"/>
      <x:c r="K472" s="85"/>
    </x:row>
    <x:row r="473">
      <x:c r="A473" s="88"/>
      <x:c r="B473" s="85"/>
      <x:c r="C473" s="85"/>
      <x:c r="D473" s="85"/>
      <x:c r="E473" s="90"/>
      <x:c r="F473" s="90"/>
      <x:c r="G473" s="90"/>
      <x:c r="H473" s="85"/>
      <x:c r="I473" s="85"/>
      <x:c r="J473" s="85"/>
      <x:c r="K473" s="85"/>
    </x:row>
    <x:row r="474">
      <x:c r="A474" s="88"/>
      <x:c r="B474" s="85"/>
      <x:c r="C474" s="85"/>
      <x:c r="D474" s="85"/>
      <x:c r="E474" s="90"/>
      <x:c r="F474" s="90"/>
      <x:c r="G474" s="90"/>
      <x:c r="H474" s="85"/>
      <x:c r="I474" s="85"/>
      <x:c r="J474" s="85"/>
      <x:c r="K474" s="85"/>
    </x:row>
    <x:row r="475">
      <x:c r="A475" s="88"/>
      <x:c r="B475" s="85"/>
      <x:c r="C475" s="85"/>
      <x:c r="D475" s="85"/>
      <x:c r="E475" s="90"/>
      <x:c r="F475" s="90"/>
      <x:c r="G475" s="90"/>
      <x:c r="H475" s="85"/>
      <x:c r="I475" s="85"/>
      <x:c r="J475" s="85"/>
      <x:c r="K475" s="85"/>
    </x:row>
    <x:row r="476">
      <x:c r="A476" s="88"/>
      <x:c r="B476" s="85"/>
      <x:c r="C476" s="85"/>
      <x:c r="D476" s="85"/>
      <x:c r="E476" s="90"/>
      <x:c r="F476" s="90"/>
      <x:c r="G476" s="90"/>
      <x:c r="H476" s="85"/>
      <x:c r="I476" s="85"/>
      <x:c r="J476" s="85"/>
      <x:c r="K476" s="85"/>
    </x:row>
    <x:row r="477">
      <x:c r="A477" s="88"/>
      <x:c r="B477" s="85"/>
      <x:c r="C477" s="85"/>
      <x:c r="D477" s="85"/>
      <x:c r="E477" s="90"/>
      <x:c r="F477" s="90"/>
      <x:c r="G477" s="90"/>
      <x:c r="H477" s="85"/>
      <x:c r="I477" s="85"/>
      <x:c r="J477" s="85"/>
      <x:c r="K477" s="85"/>
    </x:row>
    <x:row r="478">
      <x:c r="A478" s="88"/>
      <x:c r="B478" s="85"/>
      <x:c r="C478" s="85"/>
      <x:c r="D478" s="85"/>
      <x:c r="E478" s="90"/>
      <x:c r="F478" s="90"/>
      <x:c r="G478" s="90"/>
      <x:c r="H478" s="85"/>
      <x:c r="I478" s="85"/>
      <x:c r="J478" s="85"/>
      <x:c r="K478" s="85"/>
    </x:row>
    <x:row r="479">
      <x:c r="A479" s="88"/>
      <x:c r="B479" s="85"/>
      <x:c r="C479" s="85"/>
      <x:c r="D479" s="85"/>
      <x:c r="E479" s="90"/>
      <x:c r="F479" s="90"/>
      <x:c r="G479" s="90"/>
      <x:c r="H479" s="85"/>
      <x:c r="I479" s="85"/>
      <x:c r="J479" s="85"/>
      <x:c r="K479" s="85"/>
    </x:row>
    <x:row r="480">
      <x:c r="A480" s="88"/>
      <x:c r="B480" s="85"/>
      <x:c r="C480" s="85"/>
      <x:c r="D480" s="85"/>
      <x:c r="E480" s="90"/>
      <x:c r="F480" s="90"/>
      <x:c r="G480" s="90"/>
      <x:c r="H480" s="85"/>
      <x:c r="I480" s="85"/>
      <x:c r="J480" s="85"/>
      <x:c r="K480" s="85"/>
    </x:row>
    <x:row r="481">
      <x:c r="A481" s="88"/>
      <x:c r="B481" s="85"/>
      <x:c r="C481" s="85"/>
      <x:c r="D481" s="85"/>
      <x:c r="E481" s="90"/>
      <x:c r="F481" s="90"/>
      <x:c r="G481" s="90"/>
      <x:c r="H481" s="85"/>
      <x:c r="I481" s="85"/>
      <x:c r="J481" s="85"/>
      <x:c r="K481" s="85"/>
    </x:row>
    <x:row r="482">
      <x:c r="A482" s="88"/>
      <x:c r="B482" s="85"/>
      <x:c r="C482" s="85"/>
      <x:c r="D482" s="85"/>
      <x:c r="E482" s="90"/>
      <x:c r="F482" s="90"/>
      <x:c r="G482" s="90"/>
      <x:c r="H482" s="85"/>
      <x:c r="I482" s="85"/>
      <x:c r="J482" s="85"/>
      <x:c r="K482" s="85"/>
    </x:row>
    <x:row r="483">
      <x:c r="A483" s="88"/>
      <x:c r="B483" s="85"/>
      <x:c r="C483" s="85"/>
      <x:c r="D483" s="85"/>
      <x:c r="E483" s="90"/>
      <x:c r="F483" s="90"/>
      <x:c r="G483" s="90"/>
      <x:c r="H483" s="85"/>
      <x:c r="I483" s="85"/>
      <x:c r="J483" s="85"/>
      <x:c r="K483" s="85"/>
    </x:row>
    <x:row r="484">
      <x:c r="A484" s="88"/>
      <x:c r="B484" s="85"/>
      <x:c r="C484" s="85"/>
      <x:c r="D484" s="85"/>
      <x:c r="E484" s="90"/>
      <x:c r="F484" s="90"/>
      <x:c r="G484" s="90"/>
      <x:c r="H484" s="85"/>
      <x:c r="I484" s="85"/>
      <x:c r="J484" s="85"/>
      <x:c r="K484" s="85"/>
    </x:row>
    <x:row r="485">
      <x:c r="A485" s="88"/>
      <x:c r="B485" s="85"/>
      <x:c r="C485" s="85"/>
      <x:c r="D485" s="85"/>
      <x:c r="E485" s="90"/>
      <x:c r="F485" s="90"/>
      <x:c r="G485" s="90"/>
      <x:c r="H485" s="85"/>
      <x:c r="I485" s="85"/>
      <x:c r="J485" s="85"/>
      <x:c r="K485" s="85"/>
    </x:row>
    <x:row r="486">
      <x:c r="A486" s="88"/>
      <x:c r="B486" s="85"/>
      <x:c r="C486" s="85"/>
      <x:c r="D486" s="85"/>
      <x:c r="E486" s="90"/>
      <x:c r="F486" s="90"/>
      <x:c r="G486" s="90"/>
      <x:c r="H486" s="85"/>
      <x:c r="I486" s="85"/>
      <x:c r="J486" s="85"/>
      <x:c r="K486" s="85"/>
    </x:row>
    <x:row r="487">
      <x:c r="A487" s="88"/>
      <x:c r="B487" s="85"/>
      <x:c r="C487" s="85"/>
      <x:c r="D487" s="85"/>
      <x:c r="E487" s="90"/>
      <x:c r="F487" s="90"/>
      <x:c r="G487" s="90"/>
      <x:c r="H487" s="85"/>
      <x:c r="I487" s="85"/>
      <x:c r="J487" s="85"/>
      <x:c r="K487" s="85"/>
    </x:row>
    <x:row r="488">
      <x:c r="A488" s="88"/>
      <x:c r="B488" s="85"/>
      <x:c r="C488" s="85"/>
      <x:c r="D488" s="85"/>
      <x:c r="E488" s="90"/>
      <x:c r="F488" s="90"/>
      <x:c r="G488" s="90"/>
      <x:c r="H488" s="85"/>
      <x:c r="I488" s="85"/>
      <x:c r="J488" s="85"/>
      <x:c r="K488" s="85"/>
    </x:row>
    <x:row r="489">
      <x:c r="A489" s="88"/>
      <x:c r="B489" s="85"/>
      <x:c r="C489" s="85"/>
      <x:c r="D489" s="85"/>
      <x:c r="E489" s="90"/>
      <x:c r="F489" s="90"/>
      <x:c r="G489" s="90"/>
      <x:c r="H489" s="85"/>
      <x:c r="I489" s="85"/>
      <x:c r="J489" s="85"/>
      <x:c r="K489" s="85"/>
    </x:row>
    <x:row r="490">
      <x:c r="A490" s="88"/>
      <x:c r="B490" s="85"/>
      <x:c r="C490" s="85"/>
      <x:c r="D490" s="85"/>
      <x:c r="E490" s="90"/>
      <x:c r="F490" s="90"/>
      <x:c r="G490" s="90"/>
      <x:c r="H490" s="85"/>
      <x:c r="I490" s="85"/>
      <x:c r="J490" s="85"/>
      <x:c r="K490" s="85"/>
    </x:row>
    <x:row r="491">
      <x:c r="A491" s="88"/>
      <x:c r="B491" s="85"/>
      <x:c r="C491" s="85"/>
      <x:c r="D491" s="85"/>
      <x:c r="E491" s="90"/>
      <x:c r="F491" s="90"/>
      <x:c r="G491" s="90"/>
      <x:c r="H491" s="85"/>
      <x:c r="I491" s="85"/>
      <x:c r="J491" s="85"/>
      <x:c r="K491" s="85"/>
    </x:row>
    <x:row r="492">
      <x:c r="A492" s="88"/>
      <x:c r="B492" s="85"/>
      <x:c r="C492" s="85"/>
      <x:c r="D492" s="85"/>
      <x:c r="E492" s="90"/>
      <x:c r="F492" s="90"/>
      <x:c r="G492" s="90"/>
      <x:c r="H492" s="85"/>
      <x:c r="I492" s="85"/>
      <x:c r="J492" s="85"/>
      <x:c r="K492" s="85"/>
    </x:row>
    <x:row r="493">
      <x:c r="A493" s="88"/>
      <x:c r="B493" s="85"/>
      <x:c r="C493" s="85"/>
      <x:c r="D493" s="85"/>
      <x:c r="E493" s="90"/>
      <x:c r="F493" s="90"/>
      <x:c r="G493" s="90"/>
      <x:c r="H493" s="85"/>
      <x:c r="I493" s="85"/>
      <x:c r="J493" s="85"/>
      <x:c r="K493" s="85"/>
    </x:row>
    <x:row r="494">
      <x:c r="A494" s="88"/>
      <x:c r="B494" s="85"/>
      <x:c r="C494" s="85"/>
      <x:c r="D494" s="85"/>
      <x:c r="E494" s="90"/>
      <x:c r="F494" s="90"/>
      <x:c r="G494" s="90"/>
      <x:c r="H494" s="85"/>
      <x:c r="I494" s="85"/>
      <x:c r="J494" s="85"/>
      <x:c r="K494" s="85"/>
    </x:row>
    <x:row r="495">
      <x:c r="A495" s="88"/>
      <x:c r="B495" s="85"/>
      <x:c r="C495" s="85"/>
      <x:c r="D495" s="85"/>
      <x:c r="E495" s="90"/>
      <x:c r="F495" s="90"/>
      <x:c r="G495" s="90"/>
      <x:c r="H495" s="85"/>
      <x:c r="I495" s="85"/>
      <x:c r="J495" s="85"/>
      <x:c r="K495" s="85"/>
    </x:row>
    <x:row r="496">
      <x:c r="A496" s="88"/>
      <x:c r="B496" s="85"/>
      <x:c r="C496" s="85"/>
      <x:c r="D496" s="85"/>
      <x:c r="E496" s="90"/>
      <x:c r="F496" s="90"/>
      <x:c r="G496" s="90"/>
      <x:c r="H496" s="85"/>
      <x:c r="I496" s="85"/>
      <x:c r="J496" s="85"/>
      <x:c r="K496" s="85"/>
    </x:row>
    <x:row r="497">
      <x:c r="A497" s="88"/>
      <x:c r="B497" s="85"/>
      <x:c r="C497" s="85"/>
      <x:c r="D497" s="85"/>
      <x:c r="E497" s="90"/>
      <x:c r="F497" s="90"/>
      <x:c r="G497" s="90"/>
      <x:c r="H497" s="85"/>
      <x:c r="I497" s="85"/>
      <x:c r="J497" s="85"/>
      <x:c r="K497" s="85"/>
    </x:row>
    <x:row r="498">
      <x:c r="A498" s="88"/>
      <x:c r="B498" s="85"/>
      <x:c r="C498" s="85"/>
      <x:c r="D498" s="85"/>
      <x:c r="E498" s="90"/>
      <x:c r="F498" s="90"/>
      <x:c r="G498" s="90"/>
      <x:c r="H498" s="85"/>
      <x:c r="I498" s="85"/>
      <x:c r="J498" s="85"/>
      <x:c r="K498" s="85"/>
    </x:row>
    <x:row r="499">
      <x:c r="A499" s="88"/>
      <x:c r="B499" s="85"/>
      <x:c r="C499" s="85"/>
      <x:c r="D499" s="85"/>
      <x:c r="E499" s="90"/>
      <x:c r="F499" s="90"/>
      <x:c r="G499" s="90"/>
      <x:c r="H499" s="85"/>
      <x:c r="I499" s="85"/>
      <x:c r="J499" s="85"/>
      <x:c r="K499" s="85"/>
    </x:row>
    <x:row r="500">
      <x:c r="A500" s="88"/>
      <x:c r="B500" s="85"/>
      <x:c r="C500" s="85"/>
      <x:c r="D500" s="85"/>
      <x:c r="E500" s="90"/>
      <x:c r="F500" s="90"/>
      <x:c r="G500" s="90"/>
      <x:c r="H500" s="85"/>
      <x:c r="I500" s="85"/>
      <x:c r="J500" s="85"/>
      <x:c r="K500" s="85"/>
    </x:row>
    <x:row r="501">
      <x:c r="A501" s="88"/>
      <x:c r="B501" s="85"/>
      <x:c r="C501" s="85"/>
      <x:c r="D501" s="85"/>
      <x:c r="E501" s="90"/>
      <x:c r="F501" s="90"/>
      <x:c r="G501" s="90"/>
      <x:c r="H501" s="85"/>
      <x:c r="I501" s="85"/>
      <x:c r="J501" s="85"/>
      <x:c r="K501" s="85"/>
    </x:row>
    <x:row r="502">
      <x:c r="A502" s="88"/>
      <x:c r="B502" s="85"/>
      <x:c r="C502" s="85"/>
      <x:c r="D502" s="85"/>
      <x:c r="E502" s="90"/>
      <x:c r="F502" s="90"/>
      <x:c r="G502" s="90"/>
      <x:c r="H502" s="85"/>
      <x:c r="I502" s="85"/>
      <x:c r="J502" s="85"/>
      <x:c r="K502" s="85"/>
    </x:row>
    <x:row r="503">
      <x:c r="A503" s="88"/>
      <x:c r="B503" s="85"/>
      <x:c r="C503" s="85"/>
      <x:c r="D503" s="85"/>
      <x:c r="E503" s="90"/>
      <x:c r="F503" s="90"/>
      <x:c r="G503" s="90"/>
      <x:c r="H503" s="85"/>
      <x:c r="I503" s="85"/>
      <x:c r="J503" s="85"/>
      <x:c r="K503" s="85"/>
    </x:row>
    <x:row r="504">
      <x:c r="A504" s="88"/>
      <x:c r="B504" s="85"/>
      <x:c r="C504" s="85"/>
      <x:c r="D504" s="85"/>
      <x:c r="E504" s="90"/>
      <x:c r="F504" s="90"/>
      <x:c r="G504" s="90"/>
      <x:c r="H504" s="85"/>
      <x:c r="I504" s="85"/>
      <x:c r="J504" s="85"/>
      <x:c r="K504" s="85"/>
    </x:row>
    <x:row r="505">
      <x:c r="A505" s="88"/>
      <x:c r="B505" s="85"/>
      <x:c r="C505" s="85"/>
      <x:c r="D505" s="85"/>
      <x:c r="E505" s="90"/>
      <x:c r="F505" s="90"/>
      <x:c r="G505" s="90"/>
      <x:c r="H505" s="85"/>
      <x:c r="I505" s="85"/>
      <x:c r="J505" s="85"/>
      <x:c r="K505" s="85"/>
    </x:row>
    <x:row r="506">
      <x:c r="A506" s="88"/>
      <x:c r="B506" s="85"/>
      <x:c r="C506" s="85"/>
      <x:c r="D506" s="85"/>
      <x:c r="E506" s="90"/>
      <x:c r="F506" s="90"/>
      <x:c r="G506" s="90"/>
      <x:c r="H506" s="85"/>
      <x:c r="I506" s="85"/>
      <x:c r="J506" s="85"/>
      <x:c r="K506" s="85"/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" t="str">
        <x:v>OTA・PMS取込｜楽天・Booking・じゃらん・Beds24正規化テーブル</x:v>
      </x:c>
      <x:c r="H1" s="62"/>
      <x:c r="I1" s="62"/>
      <x:c r="J1" s="62"/>
    </x:row>
    <x:row r="3">
      <x:c r="A3" t="str">
        <x:v>用途</x:v>
      </x:c>
      <x:c r="B3" t="str">
        <x:v>OTA/PMSの月次CSVを貼付し、売上・手数料・ADR・販売室数を入力ページへ反映するための明細保管場所。</x:v>
      </x:c>
    </x:row>
    <x:row r="6">
      <x:c r="A6" s="32" t="str">
        <x:v>宿泊月</x:v>
      </x:c>
      <x:c r="B6" s="32" t="str">
        <x:v>予約ID</x:v>
      </x:c>
      <x:c r="C6" s="32" t="str">
        <x:v>チャネル</x:v>
      </x:c>
      <x:c r="D6" s="32" t="str">
        <x:v>チェックイン</x:v>
      </x:c>
      <x:c r="E6" s="32" t="str">
        <x:v>泊数</x:v>
      </x:c>
      <x:c r="F6" s="32" t="str">
        <x:v>室数</x:v>
      </x:c>
      <x:c r="G6" s="32" t="str">
        <x:v>人数</x:v>
      </x:c>
      <x:c r="H6" s="32" t="str">
        <x:v>売上</x:v>
      </x:c>
      <x:c r="I6" s="32" t="str">
        <x:v>手数料</x:v>
      </x:c>
      <x:c r="J6" s="32" t="str">
        <x:v>入金額</x:v>
      </x:c>
      <x:c r="K6" s="32" t="str">
        <x:v>ステータス</x:v>
      </x:c>
      <x:c r="L6" s="32" t="str">
        <x:v>メモ</x:v>
      </x:c>
    </x:row>
    <x:row r="7">
      <x:c r="A7" s="94"/>
      <x:c r="B7" s="92"/>
      <x:c r="C7" s="92"/>
      <x:c r="D7" s="96"/>
      <x:c r="E7" s="92"/>
      <x:c r="F7" s="92"/>
      <x:c r="G7" s="92"/>
      <x:c r="H7" s="92"/>
      <x:c r="I7" s="92"/>
      <x:c r="J7" s="92"/>
      <x:c r="K7" s="92"/>
      <x:c r="L7" s="92"/>
    </x:row>
    <x:row r="8">
      <x:c r="A8" s="94"/>
      <x:c r="B8" s="92"/>
      <x:c r="C8" s="92"/>
      <x:c r="D8" s="96"/>
      <x:c r="E8" s="92"/>
      <x:c r="F8" s="92"/>
      <x:c r="G8" s="92"/>
      <x:c r="H8" s="92"/>
      <x:c r="I8" s="92"/>
      <x:c r="J8" s="92"/>
      <x:c r="K8" s="92"/>
      <x:c r="L8" s="92"/>
    </x:row>
    <x:row r="9">
      <x:c r="A9" s="94"/>
      <x:c r="B9" s="92"/>
      <x:c r="C9" s="92"/>
      <x:c r="D9" s="96"/>
      <x:c r="E9" s="92"/>
      <x:c r="F9" s="92"/>
      <x:c r="G9" s="92"/>
      <x:c r="H9" s="92"/>
      <x:c r="I9" s="92"/>
      <x:c r="J9" s="92"/>
      <x:c r="K9" s="92"/>
      <x:c r="L9" s="92"/>
    </x:row>
    <x:row r="10">
      <x:c r="A10" s="94"/>
      <x:c r="B10" s="92"/>
      <x:c r="C10" s="92"/>
      <x:c r="D10" s="96"/>
      <x:c r="E10" s="92"/>
      <x:c r="F10" s="92"/>
      <x:c r="G10" s="92"/>
      <x:c r="H10" s="92"/>
      <x:c r="I10" s="92"/>
      <x:c r="J10" s="92"/>
      <x:c r="K10" s="92"/>
      <x:c r="L10" s="92"/>
    </x:row>
    <x:row r="11">
      <x:c r="A11" s="94"/>
      <x:c r="B11" s="92"/>
      <x:c r="C11" s="92"/>
      <x:c r="D11" s="96"/>
      <x:c r="E11" s="92"/>
      <x:c r="F11" s="92"/>
      <x:c r="G11" s="92"/>
      <x:c r="H11" s="92"/>
      <x:c r="I11" s="92"/>
      <x:c r="J11" s="92"/>
      <x:c r="K11" s="92"/>
      <x:c r="L11" s="92"/>
    </x:row>
    <x:row r="12">
      <x:c r="A12" s="94"/>
      <x:c r="B12" s="92"/>
      <x:c r="C12" s="92"/>
      <x:c r="D12" s="96"/>
      <x:c r="E12" s="92"/>
      <x:c r="F12" s="92"/>
      <x:c r="G12" s="92"/>
      <x:c r="H12" s="92"/>
      <x:c r="I12" s="92"/>
      <x:c r="J12" s="92"/>
      <x:c r="K12" s="92"/>
      <x:c r="L12" s="92"/>
    </x:row>
    <x:row r="13">
      <x:c r="A13" s="94"/>
      <x:c r="B13" s="92"/>
      <x:c r="C13" s="92"/>
      <x:c r="D13" s="96"/>
      <x:c r="E13" s="92"/>
      <x:c r="F13" s="92"/>
      <x:c r="G13" s="92"/>
      <x:c r="H13" s="92"/>
      <x:c r="I13" s="92"/>
      <x:c r="J13" s="92"/>
      <x:c r="K13" s="92"/>
      <x:c r="L13" s="92"/>
    </x:row>
    <x:row r="14">
      <x:c r="A14" s="94"/>
      <x:c r="B14" s="92"/>
      <x:c r="C14" s="92"/>
      <x:c r="D14" s="96"/>
      <x:c r="E14" s="92"/>
      <x:c r="F14" s="92"/>
      <x:c r="G14" s="92"/>
      <x:c r="H14" s="92"/>
      <x:c r="I14" s="92"/>
      <x:c r="J14" s="92"/>
      <x:c r="K14" s="92"/>
      <x:c r="L14" s="92"/>
    </x:row>
    <x:row r="15">
      <x:c r="A15" s="94"/>
      <x:c r="B15" s="92"/>
      <x:c r="C15" s="92"/>
      <x:c r="D15" s="96"/>
      <x:c r="E15" s="92"/>
      <x:c r="F15" s="92"/>
      <x:c r="G15" s="92"/>
      <x:c r="H15" s="92"/>
      <x:c r="I15" s="92"/>
      <x:c r="J15" s="92"/>
      <x:c r="K15" s="92"/>
      <x:c r="L15" s="92"/>
    </x:row>
    <x:row r="16">
      <x:c r="A16" s="94"/>
      <x:c r="B16" s="92"/>
      <x:c r="C16" s="92"/>
      <x:c r="D16" s="96"/>
      <x:c r="E16" s="92"/>
      <x:c r="F16" s="92"/>
      <x:c r="G16" s="92"/>
      <x:c r="H16" s="92"/>
      <x:c r="I16" s="92"/>
      <x:c r="J16" s="92"/>
      <x:c r="K16" s="92"/>
      <x:c r="L16" s="92"/>
    </x:row>
    <x:row r="17">
      <x:c r="A17" s="94"/>
      <x:c r="B17" s="92"/>
      <x:c r="C17" s="92"/>
      <x:c r="D17" s="96"/>
      <x:c r="E17" s="92"/>
      <x:c r="F17" s="92"/>
      <x:c r="G17" s="92"/>
      <x:c r="H17" s="92"/>
      <x:c r="I17" s="92"/>
      <x:c r="J17" s="92"/>
      <x:c r="K17" s="92"/>
      <x:c r="L17" s="92"/>
    </x:row>
    <x:row r="18">
      <x:c r="A18" s="94"/>
      <x:c r="B18" s="92"/>
      <x:c r="C18" s="92"/>
      <x:c r="D18" s="96"/>
      <x:c r="E18" s="92"/>
      <x:c r="F18" s="92"/>
      <x:c r="G18" s="92"/>
      <x:c r="H18" s="92"/>
      <x:c r="I18" s="92"/>
      <x:c r="J18" s="92"/>
      <x:c r="K18" s="92"/>
      <x:c r="L18" s="92"/>
    </x:row>
    <x:row r="19">
      <x:c r="A19" s="94"/>
      <x:c r="B19" s="92"/>
      <x:c r="C19" s="92"/>
      <x:c r="D19" s="96"/>
      <x:c r="E19" s="92"/>
      <x:c r="F19" s="92"/>
      <x:c r="G19" s="92"/>
      <x:c r="H19" s="92"/>
      <x:c r="I19" s="92"/>
      <x:c r="J19" s="92"/>
      <x:c r="K19" s="92"/>
      <x:c r="L19" s="92"/>
    </x:row>
    <x:row r="20">
      <x:c r="A20" s="94"/>
      <x:c r="B20" s="92"/>
      <x:c r="C20" s="92"/>
      <x:c r="D20" s="96"/>
      <x:c r="E20" s="92"/>
      <x:c r="F20" s="92"/>
      <x:c r="G20" s="92"/>
      <x:c r="H20" s="92"/>
      <x:c r="I20" s="92"/>
      <x:c r="J20" s="92"/>
      <x:c r="K20" s="92"/>
      <x:c r="L20" s="92"/>
    </x:row>
    <x:row r="21">
      <x:c r="A21" s="94"/>
      <x:c r="B21" s="92"/>
      <x:c r="C21" s="92"/>
      <x:c r="D21" s="96"/>
      <x:c r="E21" s="92"/>
      <x:c r="F21" s="92"/>
      <x:c r="G21" s="92"/>
      <x:c r="H21" s="92"/>
      <x:c r="I21" s="92"/>
      <x:c r="J21" s="92"/>
      <x:c r="K21" s="92"/>
      <x:c r="L21" s="92"/>
    </x:row>
    <x:row r="22">
      <x:c r="A22" s="94"/>
      <x:c r="B22" s="92"/>
      <x:c r="C22" s="92"/>
      <x:c r="D22" s="96"/>
      <x:c r="E22" s="92"/>
      <x:c r="F22" s="92"/>
      <x:c r="G22" s="92"/>
      <x:c r="H22" s="92"/>
      <x:c r="I22" s="92"/>
      <x:c r="J22" s="92"/>
      <x:c r="K22" s="92"/>
      <x:c r="L22" s="92"/>
    </x:row>
    <x:row r="23">
      <x:c r="A23" s="94"/>
      <x:c r="B23" s="92"/>
      <x:c r="C23" s="92"/>
      <x:c r="D23" s="96"/>
      <x:c r="E23" s="92"/>
      <x:c r="F23" s="92"/>
      <x:c r="G23" s="92"/>
      <x:c r="H23" s="92"/>
      <x:c r="I23" s="92"/>
      <x:c r="J23" s="92"/>
      <x:c r="K23" s="92"/>
      <x:c r="L23" s="92"/>
    </x:row>
    <x:row r="24">
      <x:c r="A24" s="94"/>
      <x:c r="B24" s="92"/>
      <x:c r="C24" s="92"/>
      <x:c r="D24" s="96"/>
      <x:c r="E24" s="92"/>
      <x:c r="F24" s="92"/>
      <x:c r="G24" s="92"/>
      <x:c r="H24" s="92"/>
      <x:c r="I24" s="92"/>
      <x:c r="J24" s="92"/>
      <x:c r="K24" s="92"/>
      <x:c r="L24" s="92"/>
    </x:row>
    <x:row r="25">
      <x:c r="A25" s="94"/>
      <x:c r="B25" s="92"/>
      <x:c r="C25" s="92"/>
      <x:c r="D25" s="96"/>
      <x:c r="E25" s="92"/>
      <x:c r="F25" s="92"/>
      <x:c r="G25" s="92"/>
      <x:c r="H25" s="92"/>
      <x:c r="I25" s="92"/>
      <x:c r="J25" s="92"/>
      <x:c r="K25" s="92"/>
      <x:c r="L25" s="92"/>
    </x:row>
    <x:row r="26">
      <x:c r="A26" s="94"/>
      <x:c r="B26" s="92"/>
      <x:c r="C26" s="92"/>
      <x:c r="D26" s="96"/>
      <x:c r="E26" s="92"/>
      <x:c r="F26" s="92"/>
      <x:c r="G26" s="92"/>
      <x:c r="H26" s="92"/>
      <x:c r="I26" s="92"/>
      <x:c r="J26" s="92"/>
      <x:c r="K26" s="92"/>
      <x:c r="L26" s="92"/>
    </x:row>
    <x:row r="27">
      <x:c r="A27" s="94"/>
      <x:c r="B27" s="92"/>
      <x:c r="C27" s="92"/>
      <x:c r="D27" s="96"/>
      <x:c r="E27" s="92"/>
      <x:c r="F27" s="92"/>
      <x:c r="G27" s="92"/>
      <x:c r="H27" s="92"/>
      <x:c r="I27" s="92"/>
      <x:c r="J27" s="92"/>
      <x:c r="K27" s="92"/>
      <x:c r="L27" s="92"/>
    </x:row>
    <x:row r="28">
      <x:c r="A28" s="94"/>
      <x:c r="B28" s="92"/>
      <x:c r="C28" s="92"/>
      <x:c r="D28" s="96"/>
      <x:c r="E28" s="92"/>
      <x:c r="F28" s="92"/>
      <x:c r="G28" s="92"/>
      <x:c r="H28" s="92"/>
      <x:c r="I28" s="92"/>
      <x:c r="J28" s="92"/>
      <x:c r="K28" s="92"/>
      <x:c r="L28" s="92"/>
    </x:row>
    <x:row r="29">
      <x:c r="A29" s="94"/>
      <x:c r="B29" s="92"/>
      <x:c r="C29" s="92"/>
      <x:c r="D29" s="96"/>
      <x:c r="E29" s="92"/>
      <x:c r="F29" s="92"/>
      <x:c r="G29" s="92"/>
      <x:c r="H29" s="92"/>
      <x:c r="I29" s="92"/>
      <x:c r="J29" s="92"/>
      <x:c r="K29" s="92"/>
      <x:c r="L29" s="92"/>
    </x:row>
    <x:row r="30">
      <x:c r="A30" s="94"/>
      <x:c r="B30" s="92"/>
      <x:c r="C30" s="92"/>
      <x:c r="D30" s="96"/>
      <x:c r="E30" s="92"/>
      <x:c r="F30" s="92"/>
      <x:c r="G30" s="92"/>
      <x:c r="H30" s="92"/>
      <x:c r="I30" s="92"/>
      <x:c r="J30" s="92"/>
      <x:c r="K30" s="92"/>
      <x:c r="L30" s="92"/>
    </x:row>
    <x:row r="31">
      <x:c r="A31" s="94"/>
      <x:c r="B31" s="92"/>
      <x:c r="C31" s="92"/>
      <x:c r="D31" s="96"/>
      <x:c r="E31" s="92"/>
      <x:c r="F31" s="92"/>
      <x:c r="G31" s="92"/>
      <x:c r="H31" s="92"/>
      <x:c r="I31" s="92"/>
      <x:c r="J31" s="92"/>
      <x:c r="K31" s="92"/>
      <x:c r="L31" s="92"/>
    </x:row>
    <x:row r="32">
      <x:c r="A32" s="94"/>
      <x:c r="B32" s="92"/>
      <x:c r="C32" s="92"/>
      <x:c r="D32" s="96"/>
      <x:c r="E32" s="92"/>
      <x:c r="F32" s="92"/>
      <x:c r="G32" s="92"/>
      <x:c r="H32" s="92"/>
      <x:c r="I32" s="92"/>
      <x:c r="J32" s="92"/>
      <x:c r="K32" s="92"/>
      <x:c r="L32" s="92"/>
    </x:row>
    <x:row r="33">
      <x:c r="A33" s="94"/>
      <x:c r="B33" s="92"/>
      <x:c r="C33" s="92"/>
      <x:c r="D33" s="96"/>
      <x:c r="E33" s="92"/>
      <x:c r="F33" s="92"/>
      <x:c r="G33" s="92"/>
      <x:c r="H33" s="92"/>
      <x:c r="I33" s="92"/>
      <x:c r="J33" s="92"/>
      <x:c r="K33" s="92"/>
      <x:c r="L33" s="92"/>
    </x:row>
    <x:row r="34">
      <x:c r="A34" s="94"/>
      <x:c r="B34" s="92"/>
      <x:c r="C34" s="92"/>
      <x:c r="D34" s="96"/>
      <x:c r="E34" s="92"/>
      <x:c r="F34" s="92"/>
      <x:c r="G34" s="92"/>
      <x:c r="H34" s="92"/>
      <x:c r="I34" s="92"/>
      <x:c r="J34" s="92"/>
      <x:c r="K34" s="92"/>
      <x:c r="L34" s="92"/>
    </x:row>
    <x:row r="35">
      <x:c r="A35" s="94"/>
      <x:c r="B35" s="92"/>
      <x:c r="C35" s="92"/>
      <x:c r="D35" s="96"/>
      <x:c r="E35" s="92"/>
      <x:c r="F35" s="92"/>
      <x:c r="G35" s="92"/>
      <x:c r="H35" s="92"/>
      <x:c r="I35" s="92"/>
      <x:c r="J35" s="92"/>
      <x:c r="K35" s="92"/>
      <x:c r="L35" s="92"/>
    </x:row>
    <x:row r="36">
      <x:c r="A36" s="94"/>
      <x:c r="B36" s="92"/>
      <x:c r="C36" s="92"/>
      <x:c r="D36" s="96"/>
      <x:c r="E36" s="92"/>
      <x:c r="F36" s="92"/>
      <x:c r="G36" s="92"/>
      <x:c r="H36" s="92"/>
      <x:c r="I36" s="92"/>
      <x:c r="J36" s="92"/>
      <x:c r="K36" s="92"/>
      <x:c r="L36" s="92"/>
    </x:row>
    <x:row r="37">
      <x:c r="A37" s="94"/>
      <x:c r="B37" s="92"/>
      <x:c r="C37" s="92"/>
      <x:c r="D37" s="96"/>
      <x:c r="E37" s="92"/>
      <x:c r="F37" s="92"/>
      <x:c r="G37" s="92"/>
      <x:c r="H37" s="92"/>
      <x:c r="I37" s="92"/>
      <x:c r="J37" s="92"/>
      <x:c r="K37" s="92"/>
      <x:c r="L37" s="92"/>
    </x:row>
    <x:row r="38">
      <x:c r="A38" s="94"/>
      <x:c r="B38" s="92"/>
      <x:c r="C38" s="92"/>
      <x:c r="D38" s="96"/>
      <x:c r="E38" s="92"/>
      <x:c r="F38" s="92"/>
      <x:c r="G38" s="92"/>
      <x:c r="H38" s="92"/>
      <x:c r="I38" s="92"/>
      <x:c r="J38" s="92"/>
      <x:c r="K38" s="92"/>
      <x:c r="L38" s="92"/>
    </x:row>
    <x:row r="39">
      <x:c r="A39" s="94"/>
      <x:c r="B39" s="92"/>
      <x:c r="C39" s="92"/>
      <x:c r="D39" s="96"/>
      <x:c r="E39" s="92"/>
      <x:c r="F39" s="92"/>
      <x:c r="G39" s="92"/>
      <x:c r="H39" s="92"/>
      <x:c r="I39" s="92"/>
      <x:c r="J39" s="92"/>
      <x:c r="K39" s="92"/>
      <x:c r="L39" s="92"/>
    </x:row>
    <x:row r="40">
      <x:c r="A40" s="94"/>
      <x:c r="B40" s="92"/>
      <x:c r="C40" s="92"/>
      <x:c r="D40" s="96"/>
      <x:c r="E40" s="92"/>
      <x:c r="F40" s="92"/>
      <x:c r="G40" s="92"/>
      <x:c r="H40" s="92"/>
      <x:c r="I40" s="92"/>
      <x:c r="J40" s="92"/>
      <x:c r="K40" s="92"/>
      <x:c r="L40" s="92"/>
    </x:row>
    <x:row r="41">
      <x:c r="A41" s="94"/>
      <x:c r="B41" s="92"/>
      <x:c r="C41" s="92"/>
      <x:c r="D41" s="96"/>
      <x:c r="E41" s="92"/>
      <x:c r="F41" s="92"/>
      <x:c r="G41" s="92"/>
      <x:c r="H41" s="92"/>
      <x:c r="I41" s="92"/>
      <x:c r="J41" s="92"/>
      <x:c r="K41" s="92"/>
      <x:c r="L41" s="92"/>
    </x:row>
    <x:row r="42">
      <x:c r="A42" s="94"/>
      <x:c r="B42" s="92"/>
      <x:c r="C42" s="92"/>
      <x:c r="D42" s="96"/>
      <x:c r="E42" s="92"/>
      <x:c r="F42" s="92"/>
      <x:c r="G42" s="92"/>
      <x:c r="H42" s="92"/>
      <x:c r="I42" s="92"/>
      <x:c r="J42" s="92"/>
      <x:c r="K42" s="92"/>
      <x:c r="L42" s="92"/>
    </x:row>
    <x:row r="43">
      <x:c r="A43" s="94"/>
      <x:c r="B43" s="92"/>
      <x:c r="C43" s="92"/>
      <x:c r="D43" s="96"/>
      <x:c r="E43" s="92"/>
      <x:c r="F43" s="92"/>
      <x:c r="G43" s="92"/>
      <x:c r="H43" s="92"/>
      <x:c r="I43" s="92"/>
      <x:c r="J43" s="92"/>
      <x:c r="K43" s="92"/>
      <x:c r="L43" s="92"/>
    </x:row>
    <x:row r="44">
      <x:c r="A44" s="94"/>
      <x:c r="B44" s="92"/>
      <x:c r="C44" s="92"/>
      <x:c r="D44" s="96"/>
      <x:c r="E44" s="92"/>
      <x:c r="F44" s="92"/>
      <x:c r="G44" s="92"/>
      <x:c r="H44" s="92"/>
      <x:c r="I44" s="92"/>
      <x:c r="J44" s="92"/>
      <x:c r="K44" s="92"/>
      <x:c r="L44" s="92"/>
    </x:row>
    <x:row r="45">
      <x:c r="A45" s="94"/>
      <x:c r="B45" s="92"/>
      <x:c r="C45" s="92"/>
      <x:c r="D45" s="96"/>
      <x:c r="E45" s="92"/>
      <x:c r="F45" s="92"/>
      <x:c r="G45" s="92"/>
      <x:c r="H45" s="92"/>
      <x:c r="I45" s="92"/>
      <x:c r="J45" s="92"/>
      <x:c r="K45" s="92"/>
      <x:c r="L45" s="92"/>
    </x:row>
    <x:row r="46">
      <x:c r="A46" s="94"/>
      <x:c r="B46" s="92"/>
      <x:c r="C46" s="92"/>
      <x:c r="D46" s="96"/>
      <x:c r="E46" s="92"/>
      <x:c r="F46" s="92"/>
      <x:c r="G46" s="92"/>
      <x:c r="H46" s="92"/>
      <x:c r="I46" s="92"/>
      <x:c r="J46" s="92"/>
      <x:c r="K46" s="92"/>
      <x:c r="L46" s="92"/>
    </x:row>
    <x:row r="47">
      <x:c r="A47" s="94"/>
      <x:c r="B47" s="92"/>
      <x:c r="C47" s="92"/>
      <x:c r="D47" s="96"/>
      <x:c r="E47" s="92"/>
      <x:c r="F47" s="92"/>
      <x:c r="G47" s="92"/>
      <x:c r="H47" s="92"/>
      <x:c r="I47" s="92"/>
      <x:c r="J47" s="92"/>
      <x:c r="K47" s="92"/>
      <x:c r="L47" s="92"/>
    </x:row>
    <x:row r="48">
      <x:c r="A48" s="94"/>
      <x:c r="B48" s="92"/>
      <x:c r="C48" s="92"/>
      <x:c r="D48" s="96"/>
      <x:c r="E48" s="92"/>
      <x:c r="F48" s="92"/>
      <x:c r="G48" s="92"/>
      <x:c r="H48" s="92"/>
      <x:c r="I48" s="92"/>
      <x:c r="J48" s="92"/>
      <x:c r="K48" s="92"/>
      <x:c r="L48" s="92"/>
    </x:row>
    <x:row r="49">
      <x:c r="A49" s="94"/>
      <x:c r="B49" s="92"/>
      <x:c r="C49" s="92"/>
      <x:c r="D49" s="96"/>
      <x:c r="E49" s="92"/>
      <x:c r="F49" s="92"/>
      <x:c r="G49" s="92"/>
      <x:c r="H49" s="92"/>
      <x:c r="I49" s="92"/>
      <x:c r="J49" s="92"/>
      <x:c r="K49" s="92"/>
      <x:c r="L49" s="92"/>
    </x:row>
    <x:row r="50">
      <x:c r="A50" s="94"/>
      <x:c r="B50" s="92"/>
      <x:c r="C50" s="92"/>
      <x:c r="D50" s="96"/>
      <x:c r="E50" s="92"/>
      <x:c r="F50" s="92"/>
      <x:c r="G50" s="92"/>
      <x:c r="H50" s="92"/>
      <x:c r="I50" s="92"/>
      <x:c r="J50" s="92"/>
      <x:c r="K50" s="92"/>
      <x:c r="L50" s="92"/>
    </x:row>
    <x:row r="51">
      <x:c r="A51" s="94"/>
      <x:c r="B51" s="92"/>
      <x:c r="C51" s="92"/>
      <x:c r="D51" s="96"/>
      <x:c r="E51" s="92"/>
      <x:c r="F51" s="92"/>
      <x:c r="G51" s="92"/>
      <x:c r="H51" s="92"/>
      <x:c r="I51" s="92"/>
      <x:c r="J51" s="92"/>
      <x:c r="K51" s="92"/>
      <x:c r="L51" s="92"/>
    </x:row>
    <x:row r="52">
      <x:c r="A52" s="94"/>
      <x:c r="B52" s="92"/>
      <x:c r="C52" s="92"/>
      <x:c r="D52" s="96"/>
      <x:c r="E52" s="92"/>
      <x:c r="F52" s="92"/>
      <x:c r="G52" s="92"/>
      <x:c r="H52" s="92"/>
      <x:c r="I52" s="92"/>
      <x:c r="J52" s="92"/>
      <x:c r="K52" s="92"/>
      <x:c r="L52" s="92"/>
    </x:row>
    <x:row r="53">
      <x:c r="A53" s="94"/>
      <x:c r="B53" s="92"/>
      <x:c r="C53" s="92"/>
      <x:c r="D53" s="96"/>
      <x:c r="E53" s="92"/>
      <x:c r="F53" s="92"/>
      <x:c r="G53" s="92"/>
      <x:c r="H53" s="92"/>
      <x:c r="I53" s="92"/>
      <x:c r="J53" s="92"/>
      <x:c r="K53" s="92"/>
      <x:c r="L53" s="92"/>
    </x:row>
    <x:row r="54">
      <x:c r="A54" s="94"/>
      <x:c r="B54" s="92"/>
      <x:c r="C54" s="92"/>
      <x:c r="D54" s="96"/>
      <x:c r="E54" s="92"/>
      <x:c r="F54" s="92"/>
      <x:c r="G54" s="92"/>
      <x:c r="H54" s="92"/>
      <x:c r="I54" s="92"/>
      <x:c r="J54" s="92"/>
      <x:c r="K54" s="92"/>
      <x:c r="L54" s="92"/>
    </x:row>
    <x:row r="55">
      <x:c r="A55" s="94"/>
      <x:c r="B55" s="92"/>
      <x:c r="C55" s="92"/>
      <x:c r="D55" s="96"/>
      <x:c r="E55" s="92"/>
      <x:c r="F55" s="92"/>
      <x:c r="G55" s="92"/>
      <x:c r="H55" s="92"/>
      <x:c r="I55" s="92"/>
      <x:c r="J55" s="92"/>
      <x:c r="K55" s="92"/>
      <x:c r="L55" s="92"/>
    </x:row>
    <x:row r="56">
      <x:c r="A56" s="94"/>
      <x:c r="B56" s="92"/>
      <x:c r="C56" s="92"/>
      <x:c r="D56" s="96"/>
      <x:c r="E56" s="92"/>
      <x:c r="F56" s="92"/>
      <x:c r="G56" s="92"/>
      <x:c r="H56" s="92"/>
      <x:c r="I56" s="92"/>
      <x:c r="J56" s="92"/>
      <x:c r="K56" s="92"/>
      <x:c r="L56" s="92"/>
    </x:row>
    <x:row r="57">
      <x:c r="A57" s="94"/>
      <x:c r="B57" s="92"/>
      <x:c r="C57" s="92"/>
      <x:c r="D57" s="96"/>
      <x:c r="E57" s="92"/>
      <x:c r="F57" s="92"/>
      <x:c r="G57" s="92"/>
      <x:c r="H57" s="92"/>
      <x:c r="I57" s="92"/>
      <x:c r="J57" s="92"/>
      <x:c r="K57" s="92"/>
      <x:c r="L57" s="92"/>
    </x:row>
    <x:row r="58">
      <x:c r="A58" s="94"/>
      <x:c r="B58" s="92"/>
      <x:c r="C58" s="92"/>
      <x:c r="D58" s="96"/>
      <x:c r="E58" s="92"/>
      <x:c r="F58" s="92"/>
      <x:c r="G58" s="92"/>
      <x:c r="H58" s="92"/>
      <x:c r="I58" s="92"/>
      <x:c r="J58" s="92"/>
      <x:c r="K58" s="92"/>
      <x:c r="L58" s="92"/>
    </x:row>
    <x:row r="59">
      <x:c r="A59" s="94"/>
      <x:c r="B59" s="92"/>
      <x:c r="C59" s="92"/>
      <x:c r="D59" s="96"/>
      <x:c r="E59" s="92"/>
      <x:c r="F59" s="92"/>
      <x:c r="G59" s="92"/>
      <x:c r="H59" s="92"/>
      <x:c r="I59" s="92"/>
      <x:c r="J59" s="92"/>
      <x:c r="K59" s="92"/>
      <x:c r="L59" s="92"/>
    </x:row>
    <x:row r="60">
      <x:c r="A60" s="94"/>
      <x:c r="B60" s="92"/>
      <x:c r="C60" s="92"/>
      <x:c r="D60" s="96"/>
      <x:c r="E60" s="92"/>
      <x:c r="F60" s="92"/>
      <x:c r="G60" s="92"/>
      <x:c r="H60" s="92"/>
      <x:c r="I60" s="92"/>
      <x:c r="J60" s="92"/>
      <x:c r="K60" s="92"/>
      <x:c r="L60" s="92"/>
    </x:row>
    <x:row r="61">
      <x:c r="A61" s="94"/>
      <x:c r="B61" s="92"/>
      <x:c r="C61" s="92"/>
      <x:c r="D61" s="96"/>
      <x:c r="E61" s="92"/>
      <x:c r="F61" s="92"/>
      <x:c r="G61" s="92"/>
      <x:c r="H61" s="92"/>
      <x:c r="I61" s="92"/>
      <x:c r="J61" s="92"/>
      <x:c r="K61" s="92"/>
      <x:c r="L61" s="92"/>
    </x:row>
    <x:row r="62">
      <x:c r="A62" s="94"/>
      <x:c r="B62" s="92"/>
      <x:c r="C62" s="92"/>
      <x:c r="D62" s="96"/>
      <x:c r="E62" s="92"/>
      <x:c r="F62" s="92"/>
      <x:c r="G62" s="92"/>
      <x:c r="H62" s="92"/>
      <x:c r="I62" s="92"/>
      <x:c r="J62" s="92"/>
      <x:c r="K62" s="92"/>
      <x:c r="L62" s="92"/>
    </x:row>
    <x:row r="63">
      <x:c r="A63" s="94"/>
      <x:c r="B63" s="92"/>
      <x:c r="C63" s="92"/>
      <x:c r="D63" s="96"/>
      <x:c r="E63" s="92"/>
      <x:c r="F63" s="92"/>
      <x:c r="G63" s="92"/>
      <x:c r="H63" s="92"/>
      <x:c r="I63" s="92"/>
      <x:c r="J63" s="92"/>
      <x:c r="K63" s="92"/>
      <x:c r="L63" s="92"/>
    </x:row>
    <x:row r="64">
      <x:c r="A64" s="94"/>
      <x:c r="B64" s="92"/>
      <x:c r="C64" s="92"/>
      <x:c r="D64" s="96"/>
      <x:c r="E64" s="92"/>
      <x:c r="F64" s="92"/>
      <x:c r="G64" s="92"/>
      <x:c r="H64" s="92"/>
      <x:c r="I64" s="92"/>
      <x:c r="J64" s="92"/>
      <x:c r="K64" s="92"/>
      <x:c r="L64" s="92"/>
    </x:row>
    <x:row r="65">
      <x:c r="A65" s="94"/>
      <x:c r="B65" s="92"/>
      <x:c r="C65" s="92"/>
      <x:c r="D65" s="96"/>
      <x:c r="E65" s="92"/>
      <x:c r="F65" s="92"/>
      <x:c r="G65" s="92"/>
      <x:c r="H65" s="92"/>
      <x:c r="I65" s="92"/>
      <x:c r="J65" s="92"/>
      <x:c r="K65" s="92"/>
      <x:c r="L65" s="92"/>
    </x:row>
    <x:row r="66">
      <x:c r="A66" s="94"/>
      <x:c r="B66" s="92"/>
      <x:c r="C66" s="92"/>
      <x:c r="D66" s="96"/>
      <x:c r="E66" s="92"/>
      <x:c r="F66" s="92"/>
      <x:c r="G66" s="92"/>
      <x:c r="H66" s="92"/>
      <x:c r="I66" s="92"/>
      <x:c r="J66" s="92"/>
      <x:c r="K66" s="92"/>
      <x:c r="L66" s="92"/>
    </x:row>
    <x:row r="67">
      <x:c r="A67" s="94"/>
      <x:c r="B67" s="92"/>
      <x:c r="C67" s="92"/>
      <x:c r="D67" s="96"/>
      <x:c r="E67" s="92"/>
      <x:c r="F67" s="92"/>
      <x:c r="G67" s="92"/>
      <x:c r="H67" s="92"/>
      <x:c r="I67" s="92"/>
      <x:c r="J67" s="92"/>
      <x:c r="K67" s="92"/>
      <x:c r="L67" s="92"/>
    </x:row>
    <x:row r="68">
      <x:c r="A68" s="94"/>
      <x:c r="B68" s="92"/>
      <x:c r="C68" s="92"/>
      <x:c r="D68" s="96"/>
      <x:c r="E68" s="92"/>
      <x:c r="F68" s="92"/>
      <x:c r="G68" s="92"/>
      <x:c r="H68" s="92"/>
      <x:c r="I68" s="92"/>
      <x:c r="J68" s="92"/>
      <x:c r="K68" s="92"/>
      <x:c r="L68" s="92"/>
    </x:row>
    <x:row r="69">
      <x:c r="A69" s="94"/>
      <x:c r="B69" s="92"/>
      <x:c r="C69" s="92"/>
      <x:c r="D69" s="96"/>
      <x:c r="E69" s="92"/>
      <x:c r="F69" s="92"/>
      <x:c r="G69" s="92"/>
      <x:c r="H69" s="92"/>
      <x:c r="I69" s="92"/>
      <x:c r="J69" s="92"/>
      <x:c r="K69" s="92"/>
      <x:c r="L69" s="92"/>
    </x:row>
    <x:row r="70">
      <x:c r="A70" s="94"/>
      <x:c r="B70" s="92"/>
      <x:c r="C70" s="92"/>
      <x:c r="D70" s="96"/>
      <x:c r="E70" s="92"/>
      <x:c r="F70" s="92"/>
      <x:c r="G70" s="92"/>
      <x:c r="H70" s="92"/>
      <x:c r="I70" s="92"/>
      <x:c r="J70" s="92"/>
      <x:c r="K70" s="92"/>
      <x:c r="L70" s="92"/>
    </x:row>
    <x:row r="71">
      <x:c r="A71" s="94"/>
      <x:c r="B71" s="92"/>
      <x:c r="C71" s="92"/>
      <x:c r="D71" s="96"/>
      <x:c r="E71" s="92"/>
      <x:c r="F71" s="92"/>
      <x:c r="G71" s="92"/>
      <x:c r="H71" s="92"/>
      <x:c r="I71" s="92"/>
      <x:c r="J71" s="92"/>
      <x:c r="K71" s="92"/>
      <x:c r="L71" s="92"/>
    </x:row>
    <x:row r="72">
      <x:c r="A72" s="94"/>
      <x:c r="B72" s="92"/>
      <x:c r="C72" s="92"/>
      <x:c r="D72" s="96"/>
      <x:c r="E72" s="92"/>
      <x:c r="F72" s="92"/>
      <x:c r="G72" s="92"/>
      <x:c r="H72" s="92"/>
      <x:c r="I72" s="92"/>
      <x:c r="J72" s="92"/>
      <x:c r="K72" s="92"/>
      <x:c r="L72" s="92"/>
    </x:row>
    <x:row r="73">
      <x:c r="A73" s="94"/>
      <x:c r="B73" s="92"/>
      <x:c r="C73" s="92"/>
      <x:c r="D73" s="96"/>
      <x:c r="E73" s="92"/>
      <x:c r="F73" s="92"/>
      <x:c r="G73" s="92"/>
      <x:c r="H73" s="92"/>
      <x:c r="I73" s="92"/>
      <x:c r="J73" s="92"/>
      <x:c r="K73" s="92"/>
      <x:c r="L73" s="92"/>
    </x:row>
    <x:row r="74">
      <x:c r="A74" s="94"/>
      <x:c r="B74" s="92"/>
      <x:c r="C74" s="92"/>
      <x:c r="D74" s="96"/>
      <x:c r="E74" s="92"/>
      <x:c r="F74" s="92"/>
      <x:c r="G74" s="92"/>
      <x:c r="H74" s="92"/>
      <x:c r="I74" s="92"/>
      <x:c r="J74" s="92"/>
      <x:c r="K74" s="92"/>
      <x:c r="L74" s="92"/>
    </x:row>
    <x:row r="75">
      <x:c r="A75" s="94"/>
      <x:c r="B75" s="92"/>
      <x:c r="C75" s="92"/>
      <x:c r="D75" s="96"/>
      <x:c r="E75" s="92"/>
      <x:c r="F75" s="92"/>
      <x:c r="G75" s="92"/>
      <x:c r="H75" s="92"/>
      <x:c r="I75" s="92"/>
      <x:c r="J75" s="92"/>
      <x:c r="K75" s="92"/>
      <x:c r="L75" s="92"/>
    </x:row>
    <x:row r="76">
      <x:c r="A76" s="94"/>
      <x:c r="B76" s="92"/>
      <x:c r="C76" s="92"/>
      <x:c r="D76" s="96"/>
      <x:c r="E76" s="92"/>
      <x:c r="F76" s="92"/>
      <x:c r="G76" s="92"/>
      <x:c r="H76" s="92"/>
      <x:c r="I76" s="92"/>
      <x:c r="J76" s="92"/>
      <x:c r="K76" s="92"/>
      <x:c r="L76" s="92"/>
    </x:row>
    <x:row r="77">
      <x:c r="A77" s="94"/>
      <x:c r="B77" s="92"/>
      <x:c r="C77" s="92"/>
      <x:c r="D77" s="96"/>
      <x:c r="E77" s="92"/>
      <x:c r="F77" s="92"/>
      <x:c r="G77" s="92"/>
      <x:c r="H77" s="92"/>
      <x:c r="I77" s="92"/>
      <x:c r="J77" s="92"/>
      <x:c r="K77" s="92"/>
      <x:c r="L77" s="92"/>
    </x:row>
    <x:row r="78">
      <x:c r="A78" s="94"/>
      <x:c r="B78" s="92"/>
      <x:c r="C78" s="92"/>
      <x:c r="D78" s="96"/>
      <x:c r="E78" s="92"/>
      <x:c r="F78" s="92"/>
      <x:c r="G78" s="92"/>
      <x:c r="H78" s="92"/>
      <x:c r="I78" s="92"/>
      <x:c r="J78" s="92"/>
      <x:c r="K78" s="92"/>
      <x:c r="L78" s="92"/>
    </x:row>
    <x:row r="79">
      <x:c r="A79" s="94"/>
      <x:c r="B79" s="92"/>
      <x:c r="C79" s="92"/>
      <x:c r="D79" s="96"/>
      <x:c r="E79" s="92"/>
      <x:c r="F79" s="92"/>
      <x:c r="G79" s="92"/>
      <x:c r="H79" s="92"/>
      <x:c r="I79" s="92"/>
      <x:c r="J79" s="92"/>
      <x:c r="K79" s="92"/>
      <x:c r="L79" s="92"/>
    </x:row>
    <x:row r="80">
      <x:c r="A80" s="94"/>
      <x:c r="B80" s="92"/>
      <x:c r="C80" s="92"/>
      <x:c r="D80" s="96"/>
      <x:c r="E80" s="92"/>
      <x:c r="F80" s="92"/>
      <x:c r="G80" s="92"/>
      <x:c r="H80" s="92"/>
      <x:c r="I80" s="92"/>
      <x:c r="J80" s="92"/>
      <x:c r="K80" s="92"/>
      <x:c r="L80" s="92"/>
    </x:row>
    <x:row r="81">
      <x:c r="A81" s="94"/>
      <x:c r="B81" s="92"/>
      <x:c r="C81" s="92"/>
      <x:c r="D81" s="96"/>
      <x:c r="E81" s="92"/>
      <x:c r="F81" s="92"/>
      <x:c r="G81" s="92"/>
      <x:c r="H81" s="92"/>
      <x:c r="I81" s="92"/>
      <x:c r="J81" s="92"/>
      <x:c r="K81" s="92"/>
      <x:c r="L81" s="92"/>
    </x:row>
    <x:row r="82">
      <x:c r="A82" s="94"/>
      <x:c r="B82" s="92"/>
      <x:c r="C82" s="92"/>
      <x:c r="D82" s="96"/>
      <x:c r="E82" s="92"/>
      <x:c r="F82" s="92"/>
      <x:c r="G82" s="92"/>
      <x:c r="H82" s="92"/>
      <x:c r="I82" s="92"/>
      <x:c r="J82" s="92"/>
      <x:c r="K82" s="92"/>
      <x:c r="L82" s="92"/>
    </x:row>
    <x:row r="83">
      <x:c r="A83" s="94"/>
      <x:c r="B83" s="92"/>
      <x:c r="C83" s="92"/>
      <x:c r="D83" s="96"/>
      <x:c r="E83" s="92"/>
      <x:c r="F83" s="92"/>
      <x:c r="G83" s="92"/>
      <x:c r="H83" s="92"/>
      <x:c r="I83" s="92"/>
      <x:c r="J83" s="92"/>
      <x:c r="K83" s="92"/>
      <x:c r="L83" s="92"/>
    </x:row>
    <x:row r="84">
      <x:c r="A84" s="94"/>
      <x:c r="B84" s="92"/>
      <x:c r="C84" s="92"/>
      <x:c r="D84" s="96"/>
      <x:c r="E84" s="92"/>
      <x:c r="F84" s="92"/>
      <x:c r="G84" s="92"/>
      <x:c r="H84" s="92"/>
      <x:c r="I84" s="92"/>
      <x:c r="J84" s="92"/>
      <x:c r="K84" s="92"/>
      <x:c r="L84" s="92"/>
    </x:row>
    <x:row r="85">
      <x:c r="A85" s="94"/>
      <x:c r="B85" s="92"/>
      <x:c r="C85" s="92"/>
      <x:c r="D85" s="96"/>
      <x:c r="E85" s="92"/>
      <x:c r="F85" s="92"/>
      <x:c r="G85" s="92"/>
      <x:c r="H85" s="92"/>
      <x:c r="I85" s="92"/>
      <x:c r="J85" s="92"/>
      <x:c r="K85" s="92"/>
      <x:c r="L85" s="92"/>
    </x:row>
    <x:row r="86">
      <x:c r="A86" s="94"/>
      <x:c r="B86" s="92"/>
      <x:c r="C86" s="92"/>
      <x:c r="D86" s="96"/>
      <x:c r="E86" s="92"/>
      <x:c r="F86" s="92"/>
      <x:c r="G86" s="92"/>
      <x:c r="H86" s="92"/>
      <x:c r="I86" s="92"/>
      <x:c r="J86" s="92"/>
      <x:c r="K86" s="92"/>
      <x:c r="L86" s="92"/>
    </x:row>
    <x:row r="87">
      <x:c r="A87" s="94"/>
      <x:c r="B87" s="92"/>
      <x:c r="C87" s="92"/>
      <x:c r="D87" s="96"/>
      <x:c r="E87" s="92"/>
      <x:c r="F87" s="92"/>
      <x:c r="G87" s="92"/>
      <x:c r="H87" s="92"/>
      <x:c r="I87" s="92"/>
      <x:c r="J87" s="92"/>
      <x:c r="K87" s="92"/>
      <x:c r="L87" s="92"/>
    </x:row>
    <x:row r="88">
      <x:c r="A88" s="94"/>
      <x:c r="B88" s="92"/>
      <x:c r="C88" s="92"/>
      <x:c r="D88" s="96"/>
      <x:c r="E88" s="92"/>
      <x:c r="F88" s="92"/>
      <x:c r="G88" s="92"/>
      <x:c r="H88" s="92"/>
      <x:c r="I88" s="92"/>
      <x:c r="J88" s="92"/>
      <x:c r="K88" s="92"/>
      <x:c r="L88" s="92"/>
    </x:row>
    <x:row r="89">
      <x:c r="A89" s="94"/>
      <x:c r="B89" s="92"/>
      <x:c r="C89" s="92"/>
      <x:c r="D89" s="96"/>
      <x:c r="E89" s="92"/>
      <x:c r="F89" s="92"/>
      <x:c r="G89" s="92"/>
      <x:c r="H89" s="92"/>
      <x:c r="I89" s="92"/>
      <x:c r="J89" s="92"/>
      <x:c r="K89" s="92"/>
      <x:c r="L89" s="92"/>
    </x:row>
    <x:row r="90">
      <x:c r="A90" s="94"/>
      <x:c r="B90" s="92"/>
      <x:c r="C90" s="92"/>
      <x:c r="D90" s="96"/>
      <x:c r="E90" s="92"/>
      <x:c r="F90" s="92"/>
      <x:c r="G90" s="92"/>
      <x:c r="H90" s="92"/>
      <x:c r="I90" s="92"/>
      <x:c r="J90" s="92"/>
      <x:c r="K90" s="92"/>
      <x:c r="L90" s="92"/>
    </x:row>
    <x:row r="91">
      <x:c r="A91" s="94"/>
      <x:c r="B91" s="92"/>
      <x:c r="C91" s="92"/>
      <x:c r="D91" s="96"/>
      <x:c r="E91" s="92"/>
      <x:c r="F91" s="92"/>
      <x:c r="G91" s="92"/>
      <x:c r="H91" s="92"/>
      <x:c r="I91" s="92"/>
      <x:c r="J91" s="92"/>
      <x:c r="K91" s="92"/>
      <x:c r="L91" s="92"/>
    </x:row>
    <x:row r="92">
      <x:c r="A92" s="94"/>
      <x:c r="B92" s="92"/>
      <x:c r="C92" s="92"/>
      <x:c r="D92" s="96"/>
      <x:c r="E92" s="92"/>
      <x:c r="F92" s="92"/>
      <x:c r="G92" s="92"/>
      <x:c r="H92" s="92"/>
      <x:c r="I92" s="92"/>
      <x:c r="J92" s="92"/>
      <x:c r="K92" s="92"/>
      <x:c r="L92" s="92"/>
    </x:row>
    <x:row r="93">
      <x:c r="A93" s="94"/>
      <x:c r="B93" s="92"/>
      <x:c r="C93" s="92"/>
      <x:c r="D93" s="96"/>
      <x:c r="E93" s="92"/>
      <x:c r="F93" s="92"/>
      <x:c r="G93" s="92"/>
      <x:c r="H93" s="92"/>
      <x:c r="I93" s="92"/>
      <x:c r="J93" s="92"/>
      <x:c r="K93" s="92"/>
      <x:c r="L93" s="92"/>
    </x:row>
    <x:row r="94">
      <x:c r="A94" s="94"/>
      <x:c r="B94" s="92"/>
      <x:c r="C94" s="92"/>
      <x:c r="D94" s="96"/>
      <x:c r="E94" s="92"/>
      <x:c r="F94" s="92"/>
      <x:c r="G94" s="92"/>
      <x:c r="H94" s="92"/>
      <x:c r="I94" s="92"/>
      <x:c r="J94" s="92"/>
      <x:c r="K94" s="92"/>
      <x:c r="L94" s="92"/>
    </x:row>
    <x:row r="95">
      <x:c r="A95" s="94"/>
      <x:c r="B95" s="92"/>
      <x:c r="C95" s="92"/>
      <x:c r="D95" s="96"/>
      <x:c r="E95" s="92"/>
      <x:c r="F95" s="92"/>
      <x:c r="G95" s="92"/>
      <x:c r="H95" s="92"/>
      <x:c r="I95" s="92"/>
      <x:c r="J95" s="92"/>
      <x:c r="K95" s="92"/>
      <x:c r="L95" s="92"/>
    </x:row>
    <x:row r="96">
      <x:c r="A96" s="94"/>
      <x:c r="B96" s="92"/>
      <x:c r="C96" s="92"/>
      <x:c r="D96" s="96"/>
      <x:c r="E96" s="92"/>
      <x:c r="F96" s="92"/>
      <x:c r="G96" s="92"/>
      <x:c r="H96" s="92"/>
      <x:c r="I96" s="92"/>
      <x:c r="J96" s="92"/>
      <x:c r="K96" s="92"/>
      <x:c r="L96" s="92"/>
    </x:row>
    <x:row r="97">
      <x:c r="A97" s="94"/>
      <x:c r="B97" s="92"/>
      <x:c r="C97" s="92"/>
      <x:c r="D97" s="96"/>
      <x:c r="E97" s="92"/>
      <x:c r="F97" s="92"/>
      <x:c r="G97" s="92"/>
      <x:c r="H97" s="92"/>
      <x:c r="I97" s="92"/>
      <x:c r="J97" s="92"/>
      <x:c r="K97" s="92"/>
      <x:c r="L97" s="92"/>
    </x:row>
    <x:row r="98">
      <x:c r="A98" s="94"/>
      <x:c r="B98" s="92"/>
      <x:c r="C98" s="92"/>
      <x:c r="D98" s="96"/>
      <x:c r="E98" s="92"/>
      <x:c r="F98" s="92"/>
      <x:c r="G98" s="92"/>
      <x:c r="H98" s="92"/>
      <x:c r="I98" s="92"/>
      <x:c r="J98" s="92"/>
      <x:c r="K98" s="92"/>
      <x:c r="L98" s="92"/>
    </x:row>
    <x:row r="99">
      <x:c r="A99" s="94"/>
      <x:c r="B99" s="92"/>
      <x:c r="C99" s="92"/>
      <x:c r="D99" s="96"/>
      <x:c r="E99" s="92"/>
      <x:c r="F99" s="92"/>
      <x:c r="G99" s="92"/>
      <x:c r="H99" s="92"/>
      <x:c r="I99" s="92"/>
      <x:c r="J99" s="92"/>
      <x:c r="K99" s="92"/>
      <x:c r="L99" s="92"/>
    </x:row>
    <x:row r="100">
      <x:c r="A100" s="94"/>
      <x:c r="B100" s="92"/>
      <x:c r="C100" s="92"/>
      <x:c r="D100" s="96"/>
      <x:c r="E100" s="92"/>
      <x:c r="F100" s="92"/>
      <x:c r="G100" s="92"/>
      <x:c r="H100" s="92"/>
      <x:c r="I100" s="92"/>
      <x:c r="J100" s="92"/>
      <x:c r="K100" s="92"/>
      <x:c r="L100" s="92"/>
    </x:row>
    <x:row r="101">
      <x:c r="A101" s="94"/>
      <x:c r="B101" s="92"/>
      <x:c r="C101" s="92"/>
      <x:c r="D101" s="96"/>
      <x:c r="E101" s="92"/>
      <x:c r="F101" s="92"/>
      <x:c r="G101" s="92"/>
      <x:c r="H101" s="92"/>
      <x:c r="I101" s="92"/>
      <x:c r="J101" s="92"/>
      <x:c r="K101" s="92"/>
      <x:c r="L101" s="92"/>
    </x:row>
    <x:row r="102">
      <x:c r="A102" s="94"/>
      <x:c r="B102" s="92"/>
      <x:c r="C102" s="92"/>
      <x:c r="D102" s="96"/>
      <x:c r="E102" s="92"/>
      <x:c r="F102" s="92"/>
      <x:c r="G102" s="92"/>
      <x:c r="H102" s="92"/>
      <x:c r="I102" s="92"/>
      <x:c r="J102" s="92"/>
      <x:c r="K102" s="92"/>
      <x:c r="L102" s="92"/>
    </x:row>
    <x:row r="103">
      <x:c r="A103" s="94"/>
      <x:c r="B103" s="92"/>
      <x:c r="C103" s="92"/>
      <x:c r="D103" s="96"/>
      <x:c r="E103" s="92"/>
      <x:c r="F103" s="92"/>
      <x:c r="G103" s="92"/>
      <x:c r="H103" s="92"/>
      <x:c r="I103" s="92"/>
      <x:c r="J103" s="92"/>
      <x:c r="K103" s="92"/>
      <x:c r="L103" s="92"/>
    </x:row>
    <x:row r="104">
      <x:c r="A104" s="94"/>
      <x:c r="B104" s="92"/>
      <x:c r="C104" s="92"/>
      <x:c r="D104" s="96"/>
      <x:c r="E104" s="92"/>
      <x:c r="F104" s="92"/>
      <x:c r="G104" s="92"/>
      <x:c r="H104" s="92"/>
      <x:c r="I104" s="92"/>
      <x:c r="J104" s="92"/>
      <x:c r="K104" s="92"/>
      <x:c r="L104" s="92"/>
    </x:row>
    <x:row r="105">
      <x:c r="A105" s="94"/>
      <x:c r="B105" s="92"/>
      <x:c r="C105" s="92"/>
      <x:c r="D105" s="96"/>
      <x:c r="E105" s="92"/>
      <x:c r="F105" s="92"/>
      <x:c r="G105" s="92"/>
      <x:c r="H105" s="92"/>
      <x:c r="I105" s="92"/>
      <x:c r="J105" s="92"/>
      <x:c r="K105" s="92"/>
      <x:c r="L105" s="92"/>
    </x:row>
    <x:row r="106">
      <x:c r="A106" s="94"/>
      <x:c r="B106" s="92"/>
      <x:c r="C106" s="92"/>
      <x:c r="D106" s="96"/>
      <x:c r="E106" s="92"/>
      <x:c r="F106" s="92"/>
      <x:c r="G106" s="92"/>
      <x:c r="H106" s="92"/>
      <x:c r="I106" s="92"/>
      <x:c r="J106" s="92"/>
      <x:c r="K106" s="92"/>
      <x:c r="L106" s="92"/>
    </x:row>
    <x:row r="107">
      <x:c r="A107" s="94"/>
      <x:c r="B107" s="92"/>
      <x:c r="C107" s="92"/>
      <x:c r="D107" s="96"/>
      <x:c r="E107" s="92"/>
      <x:c r="F107" s="92"/>
      <x:c r="G107" s="92"/>
      <x:c r="H107" s="92"/>
      <x:c r="I107" s="92"/>
      <x:c r="J107" s="92"/>
      <x:c r="K107" s="92"/>
      <x:c r="L107" s="92"/>
    </x:row>
    <x:row r="108">
      <x:c r="A108" s="94"/>
      <x:c r="B108" s="92"/>
      <x:c r="C108" s="92"/>
      <x:c r="D108" s="96"/>
      <x:c r="E108" s="92"/>
      <x:c r="F108" s="92"/>
      <x:c r="G108" s="92"/>
      <x:c r="H108" s="92"/>
      <x:c r="I108" s="92"/>
      <x:c r="J108" s="92"/>
      <x:c r="K108" s="92"/>
      <x:c r="L108" s="92"/>
    </x:row>
    <x:row r="109">
      <x:c r="A109" s="94"/>
      <x:c r="B109" s="92"/>
      <x:c r="C109" s="92"/>
      <x:c r="D109" s="96"/>
      <x:c r="E109" s="92"/>
      <x:c r="F109" s="92"/>
      <x:c r="G109" s="92"/>
      <x:c r="H109" s="92"/>
      <x:c r="I109" s="92"/>
      <x:c r="J109" s="92"/>
      <x:c r="K109" s="92"/>
      <x:c r="L109" s="92"/>
    </x:row>
    <x:row r="110">
      <x:c r="A110" s="94"/>
      <x:c r="B110" s="92"/>
      <x:c r="C110" s="92"/>
      <x:c r="D110" s="96"/>
      <x:c r="E110" s="92"/>
      <x:c r="F110" s="92"/>
      <x:c r="G110" s="92"/>
      <x:c r="H110" s="92"/>
      <x:c r="I110" s="92"/>
      <x:c r="J110" s="92"/>
      <x:c r="K110" s="92"/>
      <x:c r="L110" s="92"/>
    </x:row>
    <x:row r="111">
      <x:c r="A111" s="94"/>
      <x:c r="B111" s="92"/>
      <x:c r="C111" s="92"/>
      <x:c r="D111" s="96"/>
      <x:c r="E111" s="92"/>
      <x:c r="F111" s="92"/>
      <x:c r="G111" s="92"/>
      <x:c r="H111" s="92"/>
      <x:c r="I111" s="92"/>
      <x:c r="J111" s="92"/>
      <x:c r="K111" s="92"/>
      <x:c r="L111" s="92"/>
    </x:row>
    <x:row r="112">
      <x:c r="A112" s="94"/>
      <x:c r="B112" s="92"/>
      <x:c r="C112" s="92"/>
      <x:c r="D112" s="96"/>
      <x:c r="E112" s="92"/>
      <x:c r="F112" s="92"/>
      <x:c r="G112" s="92"/>
      <x:c r="H112" s="92"/>
      <x:c r="I112" s="92"/>
      <x:c r="J112" s="92"/>
      <x:c r="K112" s="92"/>
      <x:c r="L112" s="92"/>
    </x:row>
    <x:row r="113">
      <x:c r="A113" s="94"/>
      <x:c r="B113" s="92"/>
      <x:c r="C113" s="92"/>
      <x:c r="D113" s="96"/>
      <x:c r="E113" s="92"/>
      <x:c r="F113" s="92"/>
      <x:c r="G113" s="92"/>
      <x:c r="H113" s="92"/>
      <x:c r="I113" s="92"/>
      <x:c r="J113" s="92"/>
      <x:c r="K113" s="92"/>
      <x:c r="L113" s="92"/>
    </x:row>
    <x:row r="114">
      <x:c r="A114" s="94"/>
      <x:c r="B114" s="92"/>
      <x:c r="C114" s="92"/>
      <x:c r="D114" s="96"/>
      <x:c r="E114" s="92"/>
      <x:c r="F114" s="92"/>
      <x:c r="G114" s="92"/>
      <x:c r="H114" s="92"/>
      <x:c r="I114" s="92"/>
      <x:c r="J114" s="92"/>
      <x:c r="K114" s="92"/>
      <x:c r="L114" s="92"/>
    </x:row>
    <x:row r="115">
      <x:c r="A115" s="94"/>
      <x:c r="B115" s="92"/>
      <x:c r="C115" s="92"/>
      <x:c r="D115" s="96"/>
      <x:c r="E115" s="92"/>
      <x:c r="F115" s="92"/>
      <x:c r="G115" s="92"/>
      <x:c r="H115" s="92"/>
      <x:c r="I115" s="92"/>
      <x:c r="J115" s="92"/>
      <x:c r="K115" s="92"/>
      <x:c r="L115" s="92"/>
    </x:row>
    <x:row r="116">
      <x:c r="A116" s="94"/>
      <x:c r="B116" s="92"/>
      <x:c r="C116" s="92"/>
      <x:c r="D116" s="96"/>
      <x:c r="E116" s="92"/>
      <x:c r="F116" s="92"/>
      <x:c r="G116" s="92"/>
      <x:c r="H116" s="92"/>
      <x:c r="I116" s="92"/>
      <x:c r="J116" s="92"/>
      <x:c r="K116" s="92"/>
      <x:c r="L116" s="92"/>
    </x:row>
    <x:row r="117">
      <x:c r="A117" s="94"/>
      <x:c r="B117" s="92"/>
      <x:c r="C117" s="92"/>
      <x:c r="D117" s="96"/>
      <x:c r="E117" s="92"/>
      <x:c r="F117" s="92"/>
      <x:c r="G117" s="92"/>
      <x:c r="H117" s="92"/>
      <x:c r="I117" s="92"/>
      <x:c r="J117" s="92"/>
      <x:c r="K117" s="92"/>
      <x:c r="L117" s="92"/>
    </x:row>
    <x:row r="118">
      <x:c r="A118" s="94"/>
      <x:c r="B118" s="92"/>
      <x:c r="C118" s="92"/>
      <x:c r="D118" s="96"/>
      <x:c r="E118" s="92"/>
      <x:c r="F118" s="92"/>
      <x:c r="G118" s="92"/>
      <x:c r="H118" s="92"/>
      <x:c r="I118" s="92"/>
      <x:c r="J118" s="92"/>
      <x:c r="K118" s="92"/>
      <x:c r="L118" s="92"/>
    </x:row>
    <x:row r="119">
      <x:c r="A119" s="94"/>
      <x:c r="B119" s="92"/>
      <x:c r="C119" s="92"/>
      <x:c r="D119" s="96"/>
      <x:c r="E119" s="92"/>
      <x:c r="F119" s="92"/>
      <x:c r="G119" s="92"/>
      <x:c r="H119" s="92"/>
      <x:c r="I119" s="92"/>
      <x:c r="J119" s="92"/>
      <x:c r="K119" s="92"/>
      <x:c r="L119" s="92"/>
    </x:row>
    <x:row r="120">
      <x:c r="A120" s="94"/>
      <x:c r="B120" s="92"/>
      <x:c r="C120" s="92"/>
      <x:c r="D120" s="96"/>
      <x:c r="E120" s="92"/>
      <x:c r="F120" s="92"/>
      <x:c r="G120" s="92"/>
      <x:c r="H120" s="92"/>
      <x:c r="I120" s="92"/>
      <x:c r="J120" s="92"/>
      <x:c r="K120" s="92"/>
      <x:c r="L120" s="92"/>
    </x:row>
    <x:row r="121">
      <x:c r="A121" s="94"/>
      <x:c r="B121" s="92"/>
      <x:c r="C121" s="92"/>
      <x:c r="D121" s="96"/>
      <x:c r="E121" s="92"/>
      <x:c r="F121" s="92"/>
      <x:c r="G121" s="92"/>
      <x:c r="H121" s="92"/>
      <x:c r="I121" s="92"/>
      <x:c r="J121" s="92"/>
      <x:c r="K121" s="92"/>
      <x:c r="L121" s="92"/>
    </x:row>
    <x:row r="122">
      <x:c r="A122" s="94"/>
      <x:c r="B122" s="92"/>
      <x:c r="C122" s="92"/>
      <x:c r="D122" s="96"/>
      <x:c r="E122" s="92"/>
      <x:c r="F122" s="92"/>
      <x:c r="G122" s="92"/>
      <x:c r="H122" s="92"/>
      <x:c r="I122" s="92"/>
      <x:c r="J122" s="92"/>
      <x:c r="K122" s="92"/>
      <x:c r="L122" s="92"/>
    </x:row>
    <x:row r="123">
      <x:c r="A123" s="94"/>
      <x:c r="B123" s="92"/>
      <x:c r="C123" s="92"/>
      <x:c r="D123" s="96"/>
      <x:c r="E123" s="92"/>
      <x:c r="F123" s="92"/>
      <x:c r="G123" s="92"/>
      <x:c r="H123" s="92"/>
      <x:c r="I123" s="92"/>
      <x:c r="J123" s="92"/>
      <x:c r="K123" s="92"/>
      <x:c r="L123" s="92"/>
    </x:row>
    <x:row r="124">
      <x:c r="A124" s="94"/>
      <x:c r="B124" s="92"/>
      <x:c r="C124" s="92"/>
      <x:c r="D124" s="96"/>
      <x:c r="E124" s="92"/>
      <x:c r="F124" s="92"/>
      <x:c r="G124" s="92"/>
      <x:c r="H124" s="92"/>
      <x:c r="I124" s="92"/>
      <x:c r="J124" s="92"/>
      <x:c r="K124" s="92"/>
      <x:c r="L124" s="92"/>
    </x:row>
    <x:row r="125">
      <x:c r="A125" s="94"/>
      <x:c r="B125" s="92"/>
      <x:c r="C125" s="92"/>
      <x:c r="D125" s="96"/>
      <x:c r="E125" s="92"/>
      <x:c r="F125" s="92"/>
      <x:c r="G125" s="92"/>
      <x:c r="H125" s="92"/>
      <x:c r="I125" s="92"/>
      <x:c r="J125" s="92"/>
      <x:c r="K125" s="92"/>
      <x:c r="L125" s="92"/>
    </x:row>
    <x:row r="126">
      <x:c r="A126" s="94"/>
      <x:c r="B126" s="92"/>
      <x:c r="C126" s="92"/>
      <x:c r="D126" s="96"/>
      <x:c r="E126" s="92"/>
      <x:c r="F126" s="92"/>
      <x:c r="G126" s="92"/>
      <x:c r="H126" s="92"/>
      <x:c r="I126" s="92"/>
      <x:c r="J126" s="92"/>
      <x:c r="K126" s="92"/>
      <x:c r="L126" s="92"/>
    </x:row>
    <x:row r="127">
      <x:c r="A127" s="94"/>
      <x:c r="B127" s="92"/>
      <x:c r="C127" s="92"/>
      <x:c r="D127" s="96"/>
      <x:c r="E127" s="92"/>
      <x:c r="F127" s="92"/>
      <x:c r="G127" s="92"/>
      <x:c r="H127" s="92"/>
      <x:c r="I127" s="92"/>
      <x:c r="J127" s="92"/>
      <x:c r="K127" s="92"/>
      <x:c r="L127" s="92"/>
    </x:row>
    <x:row r="128">
      <x:c r="A128" s="94"/>
      <x:c r="B128" s="92"/>
      <x:c r="C128" s="92"/>
      <x:c r="D128" s="96"/>
      <x:c r="E128" s="92"/>
      <x:c r="F128" s="92"/>
      <x:c r="G128" s="92"/>
      <x:c r="H128" s="92"/>
      <x:c r="I128" s="92"/>
      <x:c r="J128" s="92"/>
      <x:c r="K128" s="92"/>
      <x:c r="L128" s="92"/>
    </x:row>
    <x:row r="129">
      <x:c r="A129" s="94"/>
      <x:c r="B129" s="92"/>
      <x:c r="C129" s="92"/>
      <x:c r="D129" s="96"/>
      <x:c r="E129" s="92"/>
      <x:c r="F129" s="92"/>
      <x:c r="G129" s="92"/>
      <x:c r="H129" s="92"/>
      <x:c r="I129" s="92"/>
      <x:c r="J129" s="92"/>
      <x:c r="K129" s="92"/>
      <x:c r="L129" s="92"/>
    </x:row>
    <x:row r="130">
      <x:c r="A130" s="94"/>
      <x:c r="B130" s="92"/>
      <x:c r="C130" s="92"/>
      <x:c r="D130" s="96"/>
      <x:c r="E130" s="92"/>
      <x:c r="F130" s="92"/>
      <x:c r="G130" s="92"/>
      <x:c r="H130" s="92"/>
      <x:c r="I130" s="92"/>
      <x:c r="J130" s="92"/>
      <x:c r="K130" s="92"/>
      <x:c r="L130" s="92"/>
    </x:row>
    <x:row r="131">
      <x:c r="A131" s="94"/>
      <x:c r="B131" s="92"/>
      <x:c r="C131" s="92"/>
      <x:c r="D131" s="96"/>
      <x:c r="E131" s="92"/>
      <x:c r="F131" s="92"/>
      <x:c r="G131" s="92"/>
      <x:c r="H131" s="92"/>
      <x:c r="I131" s="92"/>
      <x:c r="J131" s="92"/>
      <x:c r="K131" s="92"/>
      <x:c r="L131" s="92"/>
    </x:row>
    <x:row r="132">
      <x:c r="A132" s="94"/>
      <x:c r="B132" s="92"/>
      <x:c r="C132" s="92"/>
      <x:c r="D132" s="96"/>
      <x:c r="E132" s="92"/>
      <x:c r="F132" s="92"/>
      <x:c r="G132" s="92"/>
      <x:c r="H132" s="92"/>
      <x:c r="I132" s="92"/>
      <x:c r="J132" s="92"/>
      <x:c r="K132" s="92"/>
      <x:c r="L132" s="92"/>
    </x:row>
    <x:row r="133">
      <x:c r="A133" s="94"/>
      <x:c r="B133" s="92"/>
      <x:c r="C133" s="92"/>
      <x:c r="D133" s="96"/>
      <x:c r="E133" s="92"/>
      <x:c r="F133" s="92"/>
      <x:c r="G133" s="92"/>
      <x:c r="H133" s="92"/>
      <x:c r="I133" s="92"/>
      <x:c r="J133" s="92"/>
      <x:c r="K133" s="92"/>
      <x:c r="L133" s="92"/>
    </x:row>
    <x:row r="134">
      <x:c r="A134" s="94"/>
      <x:c r="B134" s="92"/>
      <x:c r="C134" s="92"/>
      <x:c r="D134" s="96"/>
      <x:c r="E134" s="92"/>
      <x:c r="F134" s="92"/>
      <x:c r="G134" s="92"/>
      <x:c r="H134" s="92"/>
      <x:c r="I134" s="92"/>
      <x:c r="J134" s="92"/>
      <x:c r="K134" s="92"/>
      <x:c r="L134" s="92"/>
    </x:row>
    <x:row r="135">
      <x:c r="A135" s="94"/>
      <x:c r="B135" s="92"/>
      <x:c r="C135" s="92"/>
      <x:c r="D135" s="96"/>
      <x:c r="E135" s="92"/>
      <x:c r="F135" s="92"/>
      <x:c r="G135" s="92"/>
      <x:c r="H135" s="92"/>
      <x:c r="I135" s="92"/>
      <x:c r="J135" s="92"/>
      <x:c r="K135" s="92"/>
      <x:c r="L135" s="92"/>
    </x:row>
    <x:row r="136">
      <x:c r="A136" s="94"/>
      <x:c r="B136" s="92"/>
      <x:c r="C136" s="92"/>
      <x:c r="D136" s="96"/>
      <x:c r="E136" s="92"/>
      <x:c r="F136" s="92"/>
      <x:c r="G136" s="92"/>
      <x:c r="H136" s="92"/>
      <x:c r="I136" s="92"/>
      <x:c r="J136" s="92"/>
      <x:c r="K136" s="92"/>
      <x:c r="L136" s="92"/>
    </x:row>
    <x:row r="137">
      <x:c r="A137" s="94"/>
      <x:c r="B137" s="92"/>
      <x:c r="C137" s="92"/>
      <x:c r="D137" s="96"/>
      <x:c r="E137" s="92"/>
      <x:c r="F137" s="92"/>
      <x:c r="G137" s="92"/>
      <x:c r="H137" s="92"/>
      <x:c r="I137" s="92"/>
      <x:c r="J137" s="92"/>
      <x:c r="K137" s="92"/>
      <x:c r="L137" s="92"/>
    </x:row>
    <x:row r="138">
      <x:c r="A138" s="94"/>
      <x:c r="B138" s="92"/>
      <x:c r="C138" s="92"/>
      <x:c r="D138" s="96"/>
      <x:c r="E138" s="92"/>
      <x:c r="F138" s="92"/>
      <x:c r="G138" s="92"/>
      <x:c r="H138" s="92"/>
      <x:c r="I138" s="92"/>
      <x:c r="J138" s="92"/>
      <x:c r="K138" s="92"/>
      <x:c r="L138" s="92"/>
    </x:row>
    <x:row r="139">
      <x:c r="A139" s="94"/>
      <x:c r="B139" s="92"/>
      <x:c r="C139" s="92"/>
      <x:c r="D139" s="96"/>
      <x:c r="E139" s="92"/>
      <x:c r="F139" s="92"/>
      <x:c r="G139" s="92"/>
      <x:c r="H139" s="92"/>
      <x:c r="I139" s="92"/>
      <x:c r="J139" s="92"/>
      <x:c r="K139" s="92"/>
      <x:c r="L139" s="92"/>
    </x:row>
    <x:row r="140">
      <x:c r="A140" s="94"/>
      <x:c r="B140" s="92"/>
      <x:c r="C140" s="92"/>
      <x:c r="D140" s="96"/>
      <x:c r="E140" s="92"/>
      <x:c r="F140" s="92"/>
      <x:c r="G140" s="92"/>
      <x:c r="H140" s="92"/>
      <x:c r="I140" s="92"/>
      <x:c r="J140" s="92"/>
      <x:c r="K140" s="92"/>
      <x:c r="L140" s="92"/>
    </x:row>
    <x:row r="141">
      <x:c r="A141" s="94"/>
      <x:c r="B141" s="92"/>
      <x:c r="C141" s="92"/>
      <x:c r="D141" s="96"/>
      <x:c r="E141" s="92"/>
      <x:c r="F141" s="92"/>
      <x:c r="G141" s="92"/>
      <x:c r="H141" s="92"/>
      <x:c r="I141" s="92"/>
      <x:c r="J141" s="92"/>
      <x:c r="K141" s="92"/>
      <x:c r="L141" s="92"/>
    </x:row>
    <x:row r="142">
      <x:c r="A142" s="94"/>
      <x:c r="B142" s="92"/>
      <x:c r="C142" s="92"/>
      <x:c r="D142" s="96"/>
      <x:c r="E142" s="92"/>
      <x:c r="F142" s="92"/>
      <x:c r="G142" s="92"/>
      <x:c r="H142" s="92"/>
      <x:c r="I142" s="92"/>
      <x:c r="J142" s="92"/>
      <x:c r="K142" s="92"/>
      <x:c r="L142" s="92"/>
    </x:row>
    <x:row r="143">
      <x:c r="A143" s="94"/>
      <x:c r="B143" s="92"/>
      <x:c r="C143" s="92"/>
      <x:c r="D143" s="96"/>
      <x:c r="E143" s="92"/>
      <x:c r="F143" s="92"/>
      <x:c r="G143" s="92"/>
      <x:c r="H143" s="92"/>
      <x:c r="I143" s="92"/>
      <x:c r="J143" s="92"/>
      <x:c r="K143" s="92"/>
      <x:c r="L143" s="92"/>
    </x:row>
    <x:row r="144">
      <x:c r="A144" s="94"/>
      <x:c r="B144" s="92"/>
      <x:c r="C144" s="92"/>
      <x:c r="D144" s="96"/>
      <x:c r="E144" s="92"/>
      <x:c r="F144" s="92"/>
      <x:c r="G144" s="92"/>
      <x:c r="H144" s="92"/>
      <x:c r="I144" s="92"/>
      <x:c r="J144" s="92"/>
      <x:c r="K144" s="92"/>
      <x:c r="L144" s="92"/>
    </x:row>
    <x:row r="145">
      <x:c r="A145" s="94"/>
      <x:c r="B145" s="92"/>
      <x:c r="C145" s="92"/>
      <x:c r="D145" s="96"/>
      <x:c r="E145" s="92"/>
      <x:c r="F145" s="92"/>
      <x:c r="G145" s="92"/>
      <x:c r="H145" s="92"/>
      <x:c r="I145" s="92"/>
      <x:c r="J145" s="92"/>
      <x:c r="K145" s="92"/>
      <x:c r="L145" s="92"/>
    </x:row>
    <x:row r="146">
      <x:c r="A146" s="94"/>
      <x:c r="B146" s="92"/>
      <x:c r="C146" s="92"/>
      <x:c r="D146" s="96"/>
      <x:c r="E146" s="92"/>
      <x:c r="F146" s="92"/>
      <x:c r="G146" s="92"/>
      <x:c r="H146" s="92"/>
      <x:c r="I146" s="92"/>
      <x:c r="J146" s="92"/>
      <x:c r="K146" s="92"/>
      <x:c r="L146" s="92"/>
    </x:row>
    <x:row r="147">
      <x:c r="A147" s="94"/>
      <x:c r="B147" s="92"/>
      <x:c r="C147" s="92"/>
      <x:c r="D147" s="96"/>
      <x:c r="E147" s="92"/>
      <x:c r="F147" s="92"/>
      <x:c r="G147" s="92"/>
      <x:c r="H147" s="92"/>
      <x:c r="I147" s="92"/>
      <x:c r="J147" s="92"/>
      <x:c r="K147" s="92"/>
      <x:c r="L147" s="92"/>
    </x:row>
    <x:row r="148">
      <x:c r="A148" s="94"/>
      <x:c r="B148" s="92"/>
      <x:c r="C148" s="92"/>
      <x:c r="D148" s="96"/>
      <x:c r="E148" s="92"/>
      <x:c r="F148" s="92"/>
      <x:c r="G148" s="92"/>
      <x:c r="H148" s="92"/>
      <x:c r="I148" s="92"/>
      <x:c r="J148" s="92"/>
      <x:c r="K148" s="92"/>
      <x:c r="L148" s="92"/>
    </x:row>
    <x:row r="149">
      <x:c r="A149" s="94"/>
      <x:c r="B149" s="92"/>
      <x:c r="C149" s="92"/>
      <x:c r="D149" s="96"/>
      <x:c r="E149" s="92"/>
      <x:c r="F149" s="92"/>
      <x:c r="G149" s="92"/>
      <x:c r="H149" s="92"/>
      <x:c r="I149" s="92"/>
      <x:c r="J149" s="92"/>
      <x:c r="K149" s="92"/>
      <x:c r="L149" s="92"/>
    </x:row>
    <x:row r="150">
      <x:c r="A150" s="94"/>
      <x:c r="B150" s="92"/>
      <x:c r="C150" s="92"/>
      <x:c r="D150" s="96"/>
      <x:c r="E150" s="92"/>
      <x:c r="F150" s="92"/>
      <x:c r="G150" s="92"/>
      <x:c r="H150" s="92"/>
      <x:c r="I150" s="92"/>
      <x:c r="J150" s="92"/>
      <x:c r="K150" s="92"/>
      <x:c r="L150" s="92"/>
    </x:row>
    <x:row r="151">
      <x:c r="A151" s="94"/>
      <x:c r="B151" s="92"/>
      <x:c r="C151" s="92"/>
      <x:c r="D151" s="96"/>
      <x:c r="E151" s="92"/>
      <x:c r="F151" s="92"/>
      <x:c r="G151" s="92"/>
      <x:c r="H151" s="92"/>
      <x:c r="I151" s="92"/>
      <x:c r="J151" s="92"/>
      <x:c r="K151" s="92"/>
      <x:c r="L151" s="92"/>
    </x:row>
    <x:row r="152">
      <x:c r="A152" s="94"/>
      <x:c r="B152" s="92"/>
      <x:c r="C152" s="92"/>
      <x:c r="D152" s="96"/>
      <x:c r="E152" s="92"/>
      <x:c r="F152" s="92"/>
      <x:c r="G152" s="92"/>
      <x:c r="H152" s="92"/>
      <x:c r="I152" s="92"/>
      <x:c r="J152" s="92"/>
      <x:c r="K152" s="92"/>
      <x:c r="L152" s="92"/>
    </x:row>
    <x:row r="153">
      <x:c r="A153" s="94"/>
      <x:c r="B153" s="92"/>
      <x:c r="C153" s="92"/>
      <x:c r="D153" s="96"/>
      <x:c r="E153" s="92"/>
      <x:c r="F153" s="92"/>
      <x:c r="G153" s="92"/>
      <x:c r="H153" s="92"/>
      <x:c r="I153" s="92"/>
      <x:c r="J153" s="92"/>
      <x:c r="K153" s="92"/>
      <x:c r="L153" s="92"/>
    </x:row>
    <x:row r="154">
      <x:c r="A154" s="94"/>
      <x:c r="B154" s="92"/>
      <x:c r="C154" s="92"/>
      <x:c r="D154" s="96"/>
      <x:c r="E154" s="92"/>
      <x:c r="F154" s="92"/>
      <x:c r="G154" s="92"/>
      <x:c r="H154" s="92"/>
      <x:c r="I154" s="92"/>
      <x:c r="J154" s="92"/>
      <x:c r="K154" s="92"/>
      <x:c r="L154" s="92"/>
    </x:row>
    <x:row r="155">
      <x:c r="A155" s="94"/>
      <x:c r="B155" s="92"/>
      <x:c r="C155" s="92"/>
      <x:c r="D155" s="96"/>
      <x:c r="E155" s="92"/>
      <x:c r="F155" s="92"/>
      <x:c r="G155" s="92"/>
      <x:c r="H155" s="92"/>
      <x:c r="I155" s="92"/>
      <x:c r="J155" s="92"/>
      <x:c r="K155" s="92"/>
      <x:c r="L155" s="92"/>
    </x:row>
    <x:row r="156">
      <x:c r="A156" s="94"/>
      <x:c r="B156" s="92"/>
      <x:c r="C156" s="92"/>
      <x:c r="D156" s="96"/>
      <x:c r="E156" s="92"/>
      <x:c r="F156" s="92"/>
      <x:c r="G156" s="92"/>
      <x:c r="H156" s="92"/>
      <x:c r="I156" s="92"/>
      <x:c r="J156" s="92"/>
      <x:c r="K156" s="92"/>
      <x:c r="L156" s="92"/>
    </x:row>
    <x:row r="157">
      <x:c r="A157" s="94"/>
      <x:c r="B157" s="92"/>
      <x:c r="C157" s="92"/>
      <x:c r="D157" s="96"/>
      <x:c r="E157" s="92"/>
      <x:c r="F157" s="92"/>
      <x:c r="G157" s="92"/>
      <x:c r="H157" s="92"/>
      <x:c r="I157" s="92"/>
      <x:c r="J157" s="92"/>
      <x:c r="K157" s="92"/>
      <x:c r="L157" s="92"/>
    </x:row>
    <x:row r="158">
      <x:c r="A158" s="94"/>
      <x:c r="B158" s="92"/>
      <x:c r="C158" s="92"/>
      <x:c r="D158" s="96"/>
      <x:c r="E158" s="92"/>
      <x:c r="F158" s="92"/>
      <x:c r="G158" s="92"/>
      <x:c r="H158" s="92"/>
      <x:c r="I158" s="92"/>
      <x:c r="J158" s="92"/>
      <x:c r="K158" s="92"/>
      <x:c r="L158" s="92"/>
    </x:row>
    <x:row r="159">
      <x:c r="A159" s="94"/>
      <x:c r="B159" s="92"/>
      <x:c r="C159" s="92"/>
      <x:c r="D159" s="96"/>
      <x:c r="E159" s="92"/>
      <x:c r="F159" s="92"/>
      <x:c r="G159" s="92"/>
      <x:c r="H159" s="92"/>
      <x:c r="I159" s="92"/>
      <x:c r="J159" s="92"/>
      <x:c r="K159" s="92"/>
      <x:c r="L159" s="92"/>
    </x:row>
    <x:row r="160">
      <x:c r="A160" s="94"/>
      <x:c r="B160" s="92"/>
      <x:c r="C160" s="92"/>
      <x:c r="D160" s="96"/>
      <x:c r="E160" s="92"/>
      <x:c r="F160" s="92"/>
      <x:c r="G160" s="92"/>
      <x:c r="H160" s="92"/>
      <x:c r="I160" s="92"/>
      <x:c r="J160" s="92"/>
      <x:c r="K160" s="92"/>
      <x:c r="L160" s="92"/>
    </x:row>
    <x:row r="161">
      <x:c r="A161" s="94"/>
      <x:c r="B161" s="92"/>
      <x:c r="C161" s="92"/>
      <x:c r="D161" s="96"/>
      <x:c r="E161" s="92"/>
      <x:c r="F161" s="92"/>
      <x:c r="G161" s="92"/>
      <x:c r="H161" s="92"/>
      <x:c r="I161" s="92"/>
      <x:c r="J161" s="92"/>
      <x:c r="K161" s="92"/>
      <x:c r="L161" s="92"/>
    </x:row>
    <x:row r="162">
      <x:c r="A162" s="94"/>
      <x:c r="B162" s="92"/>
      <x:c r="C162" s="92"/>
      <x:c r="D162" s="96"/>
      <x:c r="E162" s="92"/>
      <x:c r="F162" s="92"/>
      <x:c r="G162" s="92"/>
      <x:c r="H162" s="92"/>
      <x:c r="I162" s="92"/>
      <x:c r="J162" s="92"/>
      <x:c r="K162" s="92"/>
      <x:c r="L162" s="92"/>
    </x:row>
    <x:row r="163">
      <x:c r="A163" s="94"/>
      <x:c r="B163" s="92"/>
      <x:c r="C163" s="92"/>
      <x:c r="D163" s="96"/>
      <x:c r="E163" s="92"/>
      <x:c r="F163" s="92"/>
      <x:c r="G163" s="92"/>
      <x:c r="H163" s="92"/>
      <x:c r="I163" s="92"/>
      <x:c r="J163" s="92"/>
      <x:c r="K163" s="92"/>
      <x:c r="L163" s="92"/>
    </x:row>
    <x:row r="164">
      <x:c r="A164" s="94"/>
      <x:c r="B164" s="92"/>
      <x:c r="C164" s="92"/>
      <x:c r="D164" s="96"/>
      <x:c r="E164" s="92"/>
      <x:c r="F164" s="92"/>
      <x:c r="G164" s="92"/>
      <x:c r="H164" s="92"/>
      <x:c r="I164" s="92"/>
      <x:c r="J164" s="92"/>
      <x:c r="K164" s="92"/>
      <x:c r="L164" s="92"/>
    </x:row>
    <x:row r="165">
      <x:c r="A165" s="94"/>
      <x:c r="B165" s="92"/>
      <x:c r="C165" s="92"/>
      <x:c r="D165" s="96"/>
      <x:c r="E165" s="92"/>
      <x:c r="F165" s="92"/>
      <x:c r="G165" s="92"/>
      <x:c r="H165" s="92"/>
      <x:c r="I165" s="92"/>
      <x:c r="J165" s="92"/>
      <x:c r="K165" s="92"/>
      <x:c r="L165" s="92"/>
    </x:row>
    <x:row r="166">
      <x:c r="A166" s="94"/>
      <x:c r="B166" s="92"/>
      <x:c r="C166" s="92"/>
      <x:c r="D166" s="96"/>
      <x:c r="E166" s="92"/>
      <x:c r="F166" s="92"/>
      <x:c r="G166" s="92"/>
      <x:c r="H166" s="92"/>
      <x:c r="I166" s="92"/>
      <x:c r="J166" s="92"/>
      <x:c r="K166" s="92"/>
      <x:c r="L166" s="92"/>
    </x:row>
    <x:row r="167">
      <x:c r="A167" s="94"/>
      <x:c r="B167" s="92"/>
      <x:c r="C167" s="92"/>
      <x:c r="D167" s="96"/>
      <x:c r="E167" s="92"/>
      <x:c r="F167" s="92"/>
      <x:c r="G167" s="92"/>
      <x:c r="H167" s="92"/>
      <x:c r="I167" s="92"/>
      <x:c r="J167" s="92"/>
      <x:c r="K167" s="92"/>
      <x:c r="L167" s="92"/>
    </x:row>
    <x:row r="168">
      <x:c r="A168" s="94"/>
      <x:c r="B168" s="92"/>
      <x:c r="C168" s="92"/>
      <x:c r="D168" s="96"/>
      <x:c r="E168" s="92"/>
      <x:c r="F168" s="92"/>
      <x:c r="G168" s="92"/>
      <x:c r="H168" s="92"/>
      <x:c r="I168" s="92"/>
      <x:c r="J168" s="92"/>
      <x:c r="K168" s="92"/>
      <x:c r="L168" s="92"/>
    </x:row>
    <x:row r="169">
      <x:c r="A169" s="94"/>
      <x:c r="B169" s="92"/>
      <x:c r="C169" s="92"/>
      <x:c r="D169" s="96"/>
      <x:c r="E169" s="92"/>
      <x:c r="F169" s="92"/>
      <x:c r="G169" s="92"/>
      <x:c r="H169" s="92"/>
      <x:c r="I169" s="92"/>
      <x:c r="J169" s="92"/>
      <x:c r="K169" s="92"/>
      <x:c r="L169" s="92"/>
    </x:row>
    <x:row r="170">
      <x:c r="A170" s="94"/>
      <x:c r="B170" s="92"/>
      <x:c r="C170" s="92"/>
      <x:c r="D170" s="96"/>
      <x:c r="E170" s="92"/>
      <x:c r="F170" s="92"/>
      <x:c r="G170" s="92"/>
      <x:c r="H170" s="92"/>
      <x:c r="I170" s="92"/>
      <x:c r="J170" s="92"/>
      <x:c r="K170" s="92"/>
      <x:c r="L170" s="92"/>
    </x:row>
    <x:row r="171">
      <x:c r="A171" s="94"/>
      <x:c r="B171" s="92"/>
      <x:c r="C171" s="92"/>
      <x:c r="D171" s="96"/>
      <x:c r="E171" s="92"/>
      <x:c r="F171" s="92"/>
      <x:c r="G171" s="92"/>
      <x:c r="H171" s="92"/>
      <x:c r="I171" s="92"/>
      <x:c r="J171" s="92"/>
      <x:c r="K171" s="92"/>
      <x:c r="L171" s="92"/>
    </x:row>
    <x:row r="172">
      <x:c r="A172" s="94"/>
      <x:c r="B172" s="92"/>
      <x:c r="C172" s="92"/>
      <x:c r="D172" s="96"/>
      <x:c r="E172" s="92"/>
      <x:c r="F172" s="92"/>
      <x:c r="G172" s="92"/>
      <x:c r="H172" s="92"/>
      <x:c r="I172" s="92"/>
      <x:c r="J172" s="92"/>
      <x:c r="K172" s="92"/>
      <x:c r="L172" s="92"/>
    </x:row>
    <x:row r="173">
      <x:c r="A173" s="94"/>
      <x:c r="B173" s="92"/>
      <x:c r="C173" s="92"/>
      <x:c r="D173" s="96"/>
      <x:c r="E173" s="92"/>
      <x:c r="F173" s="92"/>
      <x:c r="G173" s="92"/>
      <x:c r="H173" s="92"/>
      <x:c r="I173" s="92"/>
      <x:c r="J173" s="92"/>
      <x:c r="K173" s="92"/>
      <x:c r="L173" s="92"/>
    </x:row>
    <x:row r="174">
      <x:c r="A174" s="94"/>
      <x:c r="B174" s="92"/>
      <x:c r="C174" s="92"/>
      <x:c r="D174" s="96"/>
      <x:c r="E174" s="92"/>
      <x:c r="F174" s="92"/>
      <x:c r="G174" s="92"/>
      <x:c r="H174" s="92"/>
      <x:c r="I174" s="92"/>
      <x:c r="J174" s="92"/>
      <x:c r="K174" s="92"/>
      <x:c r="L174" s="92"/>
    </x:row>
    <x:row r="175">
      <x:c r="A175" s="94"/>
      <x:c r="B175" s="92"/>
      <x:c r="C175" s="92"/>
      <x:c r="D175" s="96"/>
      <x:c r="E175" s="92"/>
      <x:c r="F175" s="92"/>
      <x:c r="G175" s="92"/>
      <x:c r="H175" s="92"/>
      <x:c r="I175" s="92"/>
      <x:c r="J175" s="92"/>
      <x:c r="K175" s="92"/>
      <x:c r="L175" s="92"/>
    </x:row>
    <x:row r="176">
      <x:c r="A176" s="94"/>
      <x:c r="B176" s="92"/>
      <x:c r="C176" s="92"/>
      <x:c r="D176" s="96"/>
      <x:c r="E176" s="92"/>
      <x:c r="F176" s="92"/>
      <x:c r="G176" s="92"/>
      <x:c r="H176" s="92"/>
      <x:c r="I176" s="92"/>
      <x:c r="J176" s="92"/>
      <x:c r="K176" s="92"/>
      <x:c r="L176" s="92"/>
    </x:row>
    <x:row r="177">
      <x:c r="A177" s="94"/>
      <x:c r="B177" s="92"/>
      <x:c r="C177" s="92"/>
      <x:c r="D177" s="96"/>
      <x:c r="E177" s="92"/>
      <x:c r="F177" s="92"/>
      <x:c r="G177" s="92"/>
      <x:c r="H177" s="92"/>
      <x:c r="I177" s="92"/>
      <x:c r="J177" s="92"/>
      <x:c r="K177" s="92"/>
      <x:c r="L177" s="92"/>
    </x:row>
    <x:row r="178">
      <x:c r="A178" s="94"/>
      <x:c r="B178" s="92"/>
      <x:c r="C178" s="92"/>
      <x:c r="D178" s="96"/>
      <x:c r="E178" s="92"/>
      <x:c r="F178" s="92"/>
      <x:c r="G178" s="92"/>
      <x:c r="H178" s="92"/>
      <x:c r="I178" s="92"/>
      <x:c r="J178" s="92"/>
      <x:c r="K178" s="92"/>
      <x:c r="L178" s="92"/>
    </x:row>
    <x:row r="179">
      <x:c r="A179" s="94"/>
      <x:c r="B179" s="92"/>
      <x:c r="C179" s="92"/>
      <x:c r="D179" s="96"/>
      <x:c r="E179" s="92"/>
      <x:c r="F179" s="92"/>
      <x:c r="G179" s="92"/>
      <x:c r="H179" s="92"/>
      <x:c r="I179" s="92"/>
      <x:c r="J179" s="92"/>
      <x:c r="K179" s="92"/>
      <x:c r="L179" s="92"/>
    </x:row>
    <x:row r="180">
      <x:c r="A180" s="94"/>
      <x:c r="B180" s="92"/>
      <x:c r="C180" s="92"/>
      <x:c r="D180" s="96"/>
      <x:c r="E180" s="92"/>
      <x:c r="F180" s="92"/>
      <x:c r="G180" s="92"/>
      <x:c r="H180" s="92"/>
      <x:c r="I180" s="92"/>
      <x:c r="J180" s="92"/>
      <x:c r="K180" s="92"/>
      <x:c r="L180" s="92"/>
    </x:row>
    <x:row r="181">
      <x:c r="A181" s="94"/>
      <x:c r="B181" s="92"/>
      <x:c r="C181" s="92"/>
      <x:c r="D181" s="96"/>
      <x:c r="E181" s="92"/>
      <x:c r="F181" s="92"/>
      <x:c r="G181" s="92"/>
      <x:c r="H181" s="92"/>
      <x:c r="I181" s="92"/>
      <x:c r="J181" s="92"/>
      <x:c r="K181" s="92"/>
      <x:c r="L181" s="92"/>
    </x:row>
    <x:row r="182">
      <x:c r="A182" s="94"/>
      <x:c r="B182" s="92"/>
      <x:c r="C182" s="92"/>
      <x:c r="D182" s="96"/>
      <x:c r="E182" s="92"/>
      <x:c r="F182" s="92"/>
      <x:c r="G182" s="92"/>
      <x:c r="H182" s="92"/>
      <x:c r="I182" s="92"/>
      <x:c r="J182" s="92"/>
      <x:c r="K182" s="92"/>
      <x:c r="L182" s="92"/>
    </x:row>
    <x:row r="183">
      <x:c r="A183" s="94"/>
      <x:c r="B183" s="92"/>
      <x:c r="C183" s="92"/>
      <x:c r="D183" s="96"/>
      <x:c r="E183" s="92"/>
      <x:c r="F183" s="92"/>
      <x:c r="G183" s="92"/>
      <x:c r="H183" s="92"/>
      <x:c r="I183" s="92"/>
      <x:c r="J183" s="92"/>
      <x:c r="K183" s="92"/>
      <x:c r="L183" s="92"/>
    </x:row>
    <x:row r="184">
      <x:c r="A184" s="94"/>
      <x:c r="B184" s="92"/>
      <x:c r="C184" s="92"/>
      <x:c r="D184" s="96"/>
      <x:c r="E184" s="92"/>
      <x:c r="F184" s="92"/>
      <x:c r="G184" s="92"/>
      <x:c r="H184" s="92"/>
      <x:c r="I184" s="92"/>
      <x:c r="J184" s="92"/>
      <x:c r="K184" s="92"/>
      <x:c r="L184" s="92"/>
    </x:row>
    <x:row r="185">
      <x:c r="A185" s="94"/>
      <x:c r="B185" s="92"/>
      <x:c r="C185" s="92"/>
      <x:c r="D185" s="96"/>
      <x:c r="E185" s="92"/>
      <x:c r="F185" s="92"/>
      <x:c r="G185" s="92"/>
      <x:c r="H185" s="92"/>
      <x:c r="I185" s="92"/>
      <x:c r="J185" s="92"/>
      <x:c r="K185" s="92"/>
      <x:c r="L185" s="92"/>
    </x:row>
    <x:row r="186">
      <x:c r="A186" s="94"/>
      <x:c r="B186" s="92"/>
      <x:c r="C186" s="92"/>
      <x:c r="D186" s="96"/>
      <x:c r="E186" s="92"/>
      <x:c r="F186" s="92"/>
      <x:c r="G186" s="92"/>
      <x:c r="H186" s="92"/>
      <x:c r="I186" s="92"/>
      <x:c r="J186" s="92"/>
      <x:c r="K186" s="92"/>
      <x:c r="L186" s="92"/>
    </x:row>
    <x:row r="187">
      <x:c r="A187" s="94"/>
      <x:c r="B187" s="92"/>
      <x:c r="C187" s="92"/>
      <x:c r="D187" s="96"/>
      <x:c r="E187" s="92"/>
      <x:c r="F187" s="92"/>
      <x:c r="G187" s="92"/>
      <x:c r="H187" s="92"/>
      <x:c r="I187" s="92"/>
      <x:c r="J187" s="92"/>
      <x:c r="K187" s="92"/>
      <x:c r="L187" s="92"/>
    </x:row>
    <x:row r="188">
      <x:c r="A188" s="94"/>
      <x:c r="B188" s="92"/>
      <x:c r="C188" s="92"/>
      <x:c r="D188" s="96"/>
      <x:c r="E188" s="92"/>
      <x:c r="F188" s="92"/>
      <x:c r="G188" s="92"/>
      <x:c r="H188" s="92"/>
      <x:c r="I188" s="92"/>
      <x:c r="J188" s="92"/>
      <x:c r="K188" s="92"/>
      <x:c r="L188" s="92"/>
    </x:row>
    <x:row r="189">
      <x:c r="A189" s="94"/>
      <x:c r="B189" s="92"/>
      <x:c r="C189" s="92"/>
      <x:c r="D189" s="96"/>
      <x:c r="E189" s="92"/>
      <x:c r="F189" s="92"/>
      <x:c r="G189" s="92"/>
      <x:c r="H189" s="92"/>
      <x:c r="I189" s="92"/>
      <x:c r="J189" s="92"/>
      <x:c r="K189" s="92"/>
      <x:c r="L189" s="92"/>
    </x:row>
    <x:row r="190">
      <x:c r="A190" s="94"/>
      <x:c r="B190" s="92"/>
      <x:c r="C190" s="92"/>
      <x:c r="D190" s="96"/>
      <x:c r="E190" s="92"/>
      <x:c r="F190" s="92"/>
      <x:c r="G190" s="92"/>
      <x:c r="H190" s="92"/>
      <x:c r="I190" s="92"/>
      <x:c r="J190" s="92"/>
      <x:c r="K190" s="92"/>
      <x:c r="L190" s="92"/>
    </x:row>
    <x:row r="191">
      <x:c r="A191" s="94"/>
      <x:c r="B191" s="92"/>
      <x:c r="C191" s="92"/>
      <x:c r="D191" s="96"/>
      <x:c r="E191" s="92"/>
      <x:c r="F191" s="92"/>
      <x:c r="G191" s="92"/>
      <x:c r="H191" s="92"/>
      <x:c r="I191" s="92"/>
      <x:c r="J191" s="92"/>
      <x:c r="K191" s="92"/>
      <x:c r="L191" s="92"/>
    </x:row>
    <x:row r="192">
      <x:c r="A192" s="94"/>
      <x:c r="B192" s="92"/>
      <x:c r="C192" s="92"/>
      <x:c r="D192" s="96"/>
      <x:c r="E192" s="92"/>
      <x:c r="F192" s="92"/>
      <x:c r="G192" s="92"/>
      <x:c r="H192" s="92"/>
      <x:c r="I192" s="92"/>
      <x:c r="J192" s="92"/>
      <x:c r="K192" s="92"/>
      <x:c r="L192" s="92"/>
    </x:row>
    <x:row r="193">
      <x:c r="A193" s="94"/>
      <x:c r="B193" s="92"/>
      <x:c r="C193" s="92"/>
      <x:c r="D193" s="96"/>
      <x:c r="E193" s="92"/>
      <x:c r="F193" s="92"/>
      <x:c r="G193" s="92"/>
      <x:c r="H193" s="92"/>
      <x:c r="I193" s="92"/>
      <x:c r="J193" s="92"/>
      <x:c r="K193" s="92"/>
      <x:c r="L193" s="92"/>
    </x:row>
    <x:row r="194">
      <x:c r="A194" s="94"/>
      <x:c r="B194" s="92"/>
      <x:c r="C194" s="92"/>
      <x:c r="D194" s="96"/>
      <x:c r="E194" s="92"/>
      <x:c r="F194" s="92"/>
      <x:c r="G194" s="92"/>
      <x:c r="H194" s="92"/>
      <x:c r="I194" s="92"/>
      <x:c r="J194" s="92"/>
      <x:c r="K194" s="92"/>
      <x:c r="L194" s="92"/>
    </x:row>
    <x:row r="195">
      <x:c r="A195" s="94"/>
      <x:c r="B195" s="92"/>
      <x:c r="C195" s="92"/>
      <x:c r="D195" s="96"/>
      <x:c r="E195" s="92"/>
      <x:c r="F195" s="92"/>
      <x:c r="G195" s="92"/>
      <x:c r="H195" s="92"/>
      <x:c r="I195" s="92"/>
      <x:c r="J195" s="92"/>
      <x:c r="K195" s="92"/>
      <x:c r="L195" s="92"/>
    </x:row>
    <x:row r="196">
      <x:c r="A196" s="94"/>
      <x:c r="B196" s="92"/>
      <x:c r="C196" s="92"/>
      <x:c r="D196" s="96"/>
      <x:c r="E196" s="92"/>
      <x:c r="F196" s="92"/>
      <x:c r="G196" s="92"/>
      <x:c r="H196" s="92"/>
      <x:c r="I196" s="92"/>
      <x:c r="J196" s="92"/>
      <x:c r="K196" s="92"/>
      <x:c r="L196" s="92"/>
    </x:row>
    <x:row r="197">
      <x:c r="A197" s="94"/>
      <x:c r="B197" s="92"/>
      <x:c r="C197" s="92"/>
      <x:c r="D197" s="96"/>
      <x:c r="E197" s="92"/>
      <x:c r="F197" s="92"/>
      <x:c r="G197" s="92"/>
      <x:c r="H197" s="92"/>
      <x:c r="I197" s="92"/>
      <x:c r="J197" s="92"/>
      <x:c r="K197" s="92"/>
      <x:c r="L197" s="92"/>
    </x:row>
    <x:row r="198">
      <x:c r="A198" s="94"/>
      <x:c r="B198" s="92"/>
      <x:c r="C198" s="92"/>
      <x:c r="D198" s="96"/>
      <x:c r="E198" s="92"/>
      <x:c r="F198" s="92"/>
      <x:c r="G198" s="92"/>
      <x:c r="H198" s="92"/>
      <x:c r="I198" s="92"/>
      <x:c r="J198" s="92"/>
      <x:c r="K198" s="92"/>
      <x:c r="L198" s="92"/>
    </x:row>
    <x:row r="199">
      <x:c r="A199" s="94"/>
      <x:c r="B199" s="92"/>
      <x:c r="C199" s="92"/>
      <x:c r="D199" s="96"/>
      <x:c r="E199" s="92"/>
      <x:c r="F199" s="92"/>
      <x:c r="G199" s="92"/>
      <x:c r="H199" s="92"/>
      <x:c r="I199" s="92"/>
      <x:c r="J199" s="92"/>
      <x:c r="K199" s="92"/>
      <x:c r="L199" s="92"/>
    </x:row>
    <x:row r="200">
      <x:c r="A200" s="94"/>
      <x:c r="B200" s="92"/>
      <x:c r="C200" s="92"/>
      <x:c r="D200" s="96"/>
      <x:c r="E200" s="92"/>
      <x:c r="F200" s="92"/>
      <x:c r="G200" s="92"/>
      <x:c r="H200" s="92"/>
      <x:c r="I200" s="92"/>
      <x:c r="J200" s="92"/>
      <x:c r="K200" s="92"/>
      <x:c r="L200" s="92"/>
    </x:row>
    <x:row r="201">
      <x:c r="A201" s="94"/>
      <x:c r="B201" s="92"/>
      <x:c r="C201" s="92"/>
      <x:c r="D201" s="96"/>
      <x:c r="E201" s="92"/>
      <x:c r="F201" s="92"/>
      <x:c r="G201" s="92"/>
      <x:c r="H201" s="92"/>
      <x:c r="I201" s="92"/>
      <x:c r="J201" s="92"/>
      <x:c r="K201" s="92"/>
      <x:c r="L201" s="92"/>
    </x:row>
    <x:row r="202">
      <x:c r="A202" s="94"/>
      <x:c r="B202" s="92"/>
      <x:c r="C202" s="92"/>
      <x:c r="D202" s="96"/>
      <x:c r="E202" s="92"/>
      <x:c r="F202" s="92"/>
      <x:c r="G202" s="92"/>
      <x:c r="H202" s="92"/>
      <x:c r="I202" s="92"/>
      <x:c r="J202" s="92"/>
      <x:c r="K202" s="92"/>
      <x:c r="L202" s="92"/>
    </x:row>
    <x:row r="203">
      <x:c r="A203" s="94"/>
      <x:c r="B203" s="92"/>
      <x:c r="C203" s="92"/>
      <x:c r="D203" s="96"/>
      <x:c r="E203" s="92"/>
      <x:c r="F203" s="92"/>
      <x:c r="G203" s="92"/>
      <x:c r="H203" s="92"/>
      <x:c r="I203" s="92"/>
      <x:c r="J203" s="92"/>
      <x:c r="K203" s="92"/>
      <x:c r="L203" s="92"/>
    </x:row>
    <x:row r="204">
      <x:c r="A204" s="94"/>
      <x:c r="B204" s="92"/>
      <x:c r="C204" s="92"/>
      <x:c r="D204" s="96"/>
      <x:c r="E204" s="92"/>
      <x:c r="F204" s="92"/>
      <x:c r="G204" s="92"/>
      <x:c r="H204" s="92"/>
      <x:c r="I204" s="92"/>
      <x:c r="J204" s="92"/>
      <x:c r="K204" s="92"/>
      <x:c r="L204" s="92"/>
    </x:row>
    <x:row r="205">
      <x:c r="A205" s="94"/>
      <x:c r="B205" s="92"/>
      <x:c r="C205" s="92"/>
      <x:c r="D205" s="96"/>
      <x:c r="E205" s="92"/>
      <x:c r="F205" s="92"/>
      <x:c r="G205" s="92"/>
      <x:c r="H205" s="92"/>
      <x:c r="I205" s="92"/>
      <x:c r="J205" s="92"/>
      <x:c r="K205" s="92"/>
      <x:c r="L205" s="92"/>
    </x:row>
    <x:row r="206">
      <x:c r="A206" s="94"/>
      <x:c r="B206" s="92"/>
      <x:c r="C206" s="92"/>
      <x:c r="D206" s="96"/>
      <x:c r="E206" s="92"/>
      <x:c r="F206" s="92"/>
      <x:c r="G206" s="92"/>
      <x:c r="H206" s="92"/>
      <x:c r="I206" s="92"/>
      <x:c r="J206" s="92"/>
      <x:c r="K206" s="92"/>
      <x:c r="L206" s="92"/>
    </x:row>
    <x:row r="207">
      <x:c r="A207" s="94"/>
      <x:c r="B207" s="92"/>
      <x:c r="C207" s="92"/>
      <x:c r="D207" s="96"/>
      <x:c r="E207" s="92"/>
      <x:c r="F207" s="92"/>
      <x:c r="G207" s="92"/>
      <x:c r="H207" s="92"/>
      <x:c r="I207" s="92"/>
      <x:c r="J207" s="92"/>
      <x:c r="K207" s="92"/>
      <x:c r="L207" s="92"/>
    </x:row>
    <x:row r="208">
      <x:c r="A208" s="94"/>
      <x:c r="B208" s="92"/>
      <x:c r="C208" s="92"/>
      <x:c r="D208" s="96"/>
      <x:c r="E208" s="92"/>
      <x:c r="F208" s="92"/>
      <x:c r="G208" s="92"/>
      <x:c r="H208" s="92"/>
      <x:c r="I208" s="92"/>
      <x:c r="J208" s="92"/>
      <x:c r="K208" s="92"/>
      <x:c r="L208" s="92"/>
    </x:row>
    <x:row r="209">
      <x:c r="A209" s="94"/>
      <x:c r="B209" s="92"/>
      <x:c r="C209" s="92"/>
      <x:c r="D209" s="96"/>
      <x:c r="E209" s="92"/>
      <x:c r="F209" s="92"/>
      <x:c r="G209" s="92"/>
      <x:c r="H209" s="92"/>
      <x:c r="I209" s="92"/>
      <x:c r="J209" s="92"/>
      <x:c r="K209" s="92"/>
      <x:c r="L209" s="92"/>
    </x:row>
    <x:row r="210">
      <x:c r="A210" s="94"/>
      <x:c r="B210" s="92"/>
      <x:c r="C210" s="92"/>
      <x:c r="D210" s="96"/>
      <x:c r="E210" s="92"/>
      <x:c r="F210" s="92"/>
      <x:c r="G210" s="92"/>
      <x:c r="H210" s="92"/>
      <x:c r="I210" s="92"/>
      <x:c r="J210" s="92"/>
      <x:c r="K210" s="92"/>
      <x:c r="L210" s="92"/>
    </x:row>
    <x:row r="211">
      <x:c r="A211" s="94"/>
      <x:c r="B211" s="92"/>
      <x:c r="C211" s="92"/>
      <x:c r="D211" s="96"/>
      <x:c r="E211" s="92"/>
      <x:c r="F211" s="92"/>
      <x:c r="G211" s="92"/>
      <x:c r="H211" s="92"/>
      <x:c r="I211" s="92"/>
      <x:c r="J211" s="92"/>
      <x:c r="K211" s="92"/>
      <x:c r="L211" s="92"/>
    </x:row>
    <x:row r="212">
      <x:c r="A212" s="94"/>
      <x:c r="B212" s="92"/>
      <x:c r="C212" s="92"/>
      <x:c r="D212" s="96"/>
      <x:c r="E212" s="92"/>
      <x:c r="F212" s="92"/>
      <x:c r="G212" s="92"/>
      <x:c r="H212" s="92"/>
      <x:c r="I212" s="92"/>
      <x:c r="J212" s="92"/>
      <x:c r="K212" s="92"/>
      <x:c r="L212" s="92"/>
    </x:row>
    <x:row r="213">
      <x:c r="A213" s="94"/>
      <x:c r="B213" s="92"/>
      <x:c r="C213" s="92"/>
      <x:c r="D213" s="96"/>
      <x:c r="E213" s="92"/>
      <x:c r="F213" s="92"/>
      <x:c r="G213" s="92"/>
      <x:c r="H213" s="92"/>
      <x:c r="I213" s="92"/>
      <x:c r="J213" s="92"/>
      <x:c r="K213" s="92"/>
      <x:c r="L213" s="92"/>
    </x:row>
    <x:row r="214">
      <x:c r="A214" s="94"/>
      <x:c r="B214" s="92"/>
      <x:c r="C214" s="92"/>
      <x:c r="D214" s="96"/>
      <x:c r="E214" s="92"/>
      <x:c r="F214" s="92"/>
      <x:c r="G214" s="92"/>
      <x:c r="H214" s="92"/>
      <x:c r="I214" s="92"/>
      <x:c r="J214" s="92"/>
      <x:c r="K214" s="92"/>
      <x:c r="L214" s="92"/>
    </x:row>
    <x:row r="215">
      <x:c r="A215" s="94"/>
      <x:c r="B215" s="92"/>
      <x:c r="C215" s="92"/>
      <x:c r="D215" s="96"/>
      <x:c r="E215" s="92"/>
      <x:c r="F215" s="92"/>
      <x:c r="G215" s="92"/>
      <x:c r="H215" s="92"/>
      <x:c r="I215" s="92"/>
      <x:c r="J215" s="92"/>
      <x:c r="K215" s="92"/>
      <x:c r="L215" s="92"/>
    </x:row>
    <x:row r="216">
      <x:c r="A216" s="94"/>
      <x:c r="B216" s="92"/>
      <x:c r="C216" s="92"/>
      <x:c r="D216" s="96"/>
      <x:c r="E216" s="92"/>
      <x:c r="F216" s="92"/>
      <x:c r="G216" s="92"/>
      <x:c r="H216" s="92"/>
      <x:c r="I216" s="92"/>
      <x:c r="J216" s="92"/>
      <x:c r="K216" s="92"/>
      <x:c r="L216" s="92"/>
    </x:row>
    <x:row r="217">
      <x:c r="A217" s="94"/>
      <x:c r="B217" s="92"/>
      <x:c r="C217" s="92"/>
      <x:c r="D217" s="96"/>
      <x:c r="E217" s="92"/>
      <x:c r="F217" s="92"/>
      <x:c r="G217" s="92"/>
      <x:c r="H217" s="92"/>
      <x:c r="I217" s="92"/>
      <x:c r="J217" s="92"/>
      <x:c r="K217" s="92"/>
      <x:c r="L217" s="92"/>
    </x:row>
    <x:row r="218">
      <x:c r="A218" s="94"/>
      <x:c r="B218" s="92"/>
      <x:c r="C218" s="92"/>
      <x:c r="D218" s="96"/>
      <x:c r="E218" s="92"/>
      <x:c r="F218" s="92"/>
      <x:c r="G218" s="92"/>
      <x:c r="H218" s="92"/>
      <x:c r="I218" s="92"/>
      <x:c r="J218" s="92"/>
      <x:c r="K218" s="92"/>
      <x:c r="L218" s="92"/>
    </x:row>
    <x:row r="219">
      <x:c r="A219" s="94"/>
      <x:c r="B219" s="92"/>
      <x:c r="C219" s="92"/>
      <x:c r="D219" s="96"/>
      <x:c r="E219" s="92"/>
      <x:c r="F219" s="92"/>
      <x:c r="G219" s="92"/>
      <x:c r="H219" s="92"/>
      <x:c r="I219" s="92"/>
      <x:c r="J219" s="92"/>
      <x:c r="K219" s="92"/>
      <x:c r="L219" s="92"/>
    </x:row>
    <x:row r="220">
      <x:c r="A220" s="94"/>
      <x:c r="B220" s="92"/>
      <x:c r="C220" s="92"/>
      <x:c r="D220" s="96"/>
      <x:c r="E220" s="92"/>
      <x:c r="F220" s="92"/>
      <x:c r="G220" s="92"/>
      <x:c r="H220" s="92"/>
      <x:c r="I220" s="92"/>
      <x:c r="J220" s="92"/>
      <x:c r="K220" s="92"/>
      <x:c r="L220" s="92"/>
    </x:row>
    <x:row r="221">
      <x:c r="A221" s="94"/>
      <x:c r="B221" s="92"/>
      <x:c r="C221" s="92"/>
      <x:c r="D221" s="96"/>
      <x:c r="E221" s="92"/>
      <x:c r="F221" s="92"/>
      <x:c r="G221" s="92"/>
      <x:c r="H221" s="92"/>
      <x:c r="I221" s="92"/>
      <x:c r="J221" s="92"/>
      <x:c r="K221" s="92"/>
      <x:c r="L221" s="92"/>
    </x:row>
    <x:row r="222">
      <x:c r="A222" s="94"/>
      <x:c r="B222" s="92"/>
      <x:c r="C222" s="92"/>
      <x:c r="D222" s="96"/>
      <x:c r="E222" s="92"/>
      <x:c r="F222" s="92"/>
      <x:c r="G222" s="92"/>
      <x:c r="H222" s="92"/>
      <x:c r="I222" s="92"/>
      <x:c r="J222" s="92"/>
      <x:c r="K222" s="92"/>
      <x:c r="L222" s="92"/>
    </x:row>
    <x:row r="223">
      <x:c r="A223" s="94"/>
      <x:c r="B223" s="92"/>
      <x:c r="C223" s="92"/>
      <x:c r="D223" s="96"/>
      <x:c r="E223" s="92"/>
      <x:c r="F223" s="92"/>
      <x:c r="G223" s="92"/>
      <x:c r="H223" s="92"/>
      <x:c r="I223" s="92"/>
      <x:c r="J223" s="92"/>
      <x:c r="K223" s="92"/>
      <x:c r="L223" s="92"/>
    </x:row>
    <x:row r="224">
      <x:c r="A224" s="94"/>
      <x:c r="B224" s="92"/>
      <x:c r="C224" s="92"/>
      <x:c r="D224" s="96"/>
      <x:c r="E224" s="92"/>
      <x:c r="F224" s="92"/>
      <x:c r="G224" s="92"/>
      <x:c r="H224" s="92"/>
      <x:c r="I224" s="92"/>
      <x:c r="J224" s="92"/>
      <x:c r="K224" s="92"/>
      <x:c r="L224" s="92"/>
    </x:row>
    <x:row r="225">
      <x:c r="A225" s="94"/>
      <x:c r="B225" s="92"/>
      <x:c r="C225" s="92"/>
      <x:c r="D225" s="96"/>
      <x:c r="E225" s="92"/>
      <x:c r="F225" s="92"/>
      <x:c r="G225" s="92"/>
      <x:c r="H225" s="92"/>
      <x:c r="I225" s="92"/>
      <x:c r="J225" s="92"/>
      <x:c r="K225" s="92"/>
      <x:c r="L225" s="92"/>
    </x:row>
    <x:row r="226">
      <x:c r="A226" s="94"/>
      <x:c r="B226" s="92"/>
      <x:c r="C226" s="92"/>
      <x:c r="D226" s="96"/>
      <x:c r="E226" s="92"/>
      <x:c r="F226" s="92"/>
      <x:c r="G226" s="92"/>
      <x:c r="H226" s="92"/>
      <x:c r="I226" s="92"/>
      <x:c r="J226" s="92"/>
      <x:c r="K226" s="92"/>
      <x:c r="L226" s="92"/>
    </x:row>
    <x:row r="227">
      <x:c r="A227" s="94"/>
      <x:c r="B227" s="92"/>
      <x:c r="C227" s="92"/>
      <x:c r="D227" s="96"/>
      <x:c r="E227" s="92"/>
      <x:c r="F227" s="92"/>
      <x:c r="G227" s="92"/>
      <x:c r="H227" s="92"/>
      <x:c r="I227" s="92"/>
      <x:c r="J227" s="92"/>
      <x:c r="K227" s="92"/>
      <x:c r="L227" s="92"/>
    </x:row>
    <x:row r="228">
      <x:c r="A228" s="94"/>
      <x:c r="B228" s="92"/>
      <x:c r="C228" s="92"/>
      <x:c r="D228" s="96"/>
      <x:c r="E228" s="92"/>
      <x:c r="F228" s="92"/>
      <x:c r="G228" s="92"/>
      <x:c r="H228" s="92"/>
      <x:c r="I228" s="92"/>
      <x:c r="J228" s="92"/>
      <x:c r="K228" s="92"/>
      <x:c r="L228" s="92"/>
    </x:row>
    <x:row r="229">
      <x:c r="A229" s="94"/>
      <x:c r="B229" s="92"/>
      <x:c r="C229" s="92"/>
      <x:c r="D229" s="96"/>
      <x:c r="E229" s="92"/>
      <x:c r="F229" s="92"/>
      <x:c r="G229" s="92"/>
      <x:c r="H229" s="92"/>
      <x:c r="I229" s="92"/>
      <x:c r="J229" s="92"/>
      <x:c r="K229" s="92"/>
      <x:c r="L229" s="92"/>
    </x:row>
    <x:row r="230">
      <x:c r="A230" s="94"/>
      <x:c r="B230" s="92"/>
      <x:c r="C230" s="92"/>
      <x:c r="D230" s="96"/>
      <x:c r="E230" s="92"/>
      <x:c r="F230" s="92"/>
      <x:c r="G230" s="92"/>
      <x:c r="H230" s="92"/>
      <x:c r="I230" s="92"/>
      <x:c r="J230" s="92"/>
      <x:c r="K230" s="92"/>
      <x:c r="L230" s="92"/>
    </x:row>
    <x:row r="231">
      <x:c r="A231" s="94"/>
      <x:c r="B231" s="92"/>
      <x:c r="C231" s="92"/>
      <x:c r="D231" s="96"/>
      <x:c r="E231" s="92"/>
      <x:c r="F231" s="92"/>
      <x:c r="G231" s="92"/>
      <x:c r="H231" s="92"/>
      <x:c r="I231" s="92"/>
      <x:c r="J231" s="92"/>
      <x:c r="K231" s="92"/>
      <x:c r="L231" s="92"/>
    </x:row>
    <x:row r="232">
      <x:c r="A232" s="94"/>
      <x:c r="B232" s="92"/>
      <x:c r="C232" s="92"/>
      <x:c r="D232" s="96"/>
      <x:c r="E232" s="92"/>
      <x:c r="F232" s="92"/>
      <x:c r="G232" s="92"/>
      <x:c r="H232" s="92"/>
      <x:c r="I232" s="92"/>
      <x:c r="J232" s="92"/>
      <x:c r="K232" s="92"/>
      <x:c r="L232" s="92"/>
    </x:row>
    <x:row r="233">
      <x:c r="A233" s="94"/>
      <x:c r="B233" s="92"/>
      <x:c r="C233" s="92"/>
      <x:c r="D233" s="96"/>
      <x:c r="E233" s="92"/>
      <x:c r="F233" s="92"/>
      <x:c r="G233" s="92"/>
      <x:c r="H233" s="92"/>
      <x:c r="I233" s="92"/>
      <x:c r="J233" s="92"/>
      <x:c r="K233" s="92"/>
      <x:c r="L233" s="92"/>
    </x:row>
    <x:row r="234">
      <x:c r="A234" s="94"/>
      <x:c r="B234" s="92"/>
      <x:c r="C234" s="92"/>
      <x:c r="D234" s="96"/>
      <x:c r="E234" s="92"/>
      <x:c r="F234" s="92"/>
      <x:c r="G234" s="92"/>
      <x:c r="H234" s="92"/>
      <x:c r="I234" s="92"/>
      <x:c r="J234" s="92"/>
      <x:c r="K234" s="92"/>
      <x:c r="L234" s="92"/>
    </x:row>
    <x:row r="235">
      <x:c r="A235" s="94"/>
      <x:c r="B235" s="92"/>
      <x:c r="C235" s="92"/>
      <x:c r="D235" s="96"/>
      <x:c r="E235" s="92"/>
      <x:c r="F235" s="92"/>
      <x:c r="G235" s="92"/>
      <x:c r="H235" s="92"/>
      <x:c r="I235" s="92"/>
      <x:c r="J235" s="92"/>
      <x:c r="K235" s="92"/>
      <x:c r="L235" s="92"/>
    </x:row>
    <x:row r="236">
      <x:c r="A236" s="94"/>
      <x:c r="B236" s="92"/>
      <x:c r="C236" s="92"/>
      <x:c r="D236" s="96"/>
      <x:c r="E236" s="92"/>
      <x:c r="F236" s="92"/>
      <x:c r="G236" s="92"/>
      <x:c r="H236" s="92"/>
      <x:c r="I236" s="92"/>
      <x:c r="J236" s="92"/>
      <x:c r="K236" s="92"/>
      <x:c r="L236" s="92"/>
    </x:row>
    <x:row r="237">
      <x:c r="A237" s="94"/>
      <x:c r="B237" s="92"/>
      <x:c r="C237" s="92"/>
      <x:c r="D237" s="96"/>
      <x:c r="E237" s="92"/>
      <x:c r="F237" s="92"/>
      <x:c r="G237" s="92"/>
      <x:c r="H237" s="92"/>
      <x:c r="I237" s="92"/>
      <x:c r="J237" s="92"/>
      <x:c r="K237" s="92"/>
      <x:c r="L237" s="92"/>
    </x:row>
    <x:row r="238">
      <x:c r="A238" s="94"/>
      <x:c r="B238" s="92"/>
      <x:c r="C238" s="92"/>
      <x:c r="D238" s="96"/>
      <x:c r="E238" s="92"/>
      <x:c r="F238" s="92"/>
      <x:c r="G238" s="92"/>
      <x:c r="H238" s="92"/>
      <x:c r="I238" s="92"/>
      <x:c r="J238" s="92"/>
      <x:c r="K238" s="92"/>
      <x:c r="L238" s="92"/>
    </x:row>
    <x:row r="239">
      <x:c r="A239" s="94"/>
      <x:c r="B239" s="92"/>
      <x:c r="C239" s="92"/>
      <x:c r="D239" s="96"/>
      <x:c r="E239" s="92"/>
      <x:c r="F239" s="92"/>
      <x:c r="G239" s="92"/>
      <x:c r="H239" s="92"/>
      <x:c r="I239" s="92"/>
      <x:c r="J239" s="92"/>
      <x:c r="K239" s="92"/>
      <x:c r="L239" s="92"/>
    </x:row>
    <x:row r="240">
      <x:c r="A240" s="94"/>
      <x:c r="B240" s="92"/>
      <x:c r="C240" s="92"/>
      <x:c r="D240" s="96"/>
      <x:c r="E240" s="92"/>
      <x:c r="F240" s="92"/>
      <x:c r="G240" s="92"/>
      <x:c r="H240" s="92"/>
      <x:c r="I240" s="92"/>
      <x:c r="J240" s="92"/>
      <x:c r="K240" s="92"/>
      <x:c r="L240" s="92"/>
    </x:row>
    <x:row r="241">
      <x:c r="A241" s="94"/>
      <x:c r="B241" s="92"/>
      <x:c r="C241" s="92"/>
      <x:c r="D241" s="96"/>
      <x:c r="E241" s="92"/>
      <x:c r="F241" s="92"/>
      <x:c r="G241" s="92"/>
      <x:c r="H241" s="92"/>
      <x:c r="I241" s="92"/>
      <x:c r="J241" s="92"/>
      <x:c r="K241" s="92"/>
      <x:c r="L241" s="92"/>
    </x:row>
    <x:row r="242">
      <x:c r="A242" s="94"/>
      <x:c r="B242" s="92"/>
      <x:c r="C242" s="92"/>
      <x:c r="D242" s="96"/>
      <x:c r="E242" s="92"/>
      <x:c r="F242" s="92"/>
      <x:c r="G242" s="92"/>
      <x:c r="H242" s="92"/>
      <x:c r="I242" s="92"/>
      <x:c r="J242" s="92"/>
      <x:c r="K242" s="92"/>
      <x:c r="L242" s="92"/>
    </x:row>
    <x:row r="243">
      <x:c r="A243" s="94"/>
      <x:c r="B243" s="92"/>
      <x:c r="C243" s="92"/>
      <x:c r="D243" s="96"/>
      <x:c r="E243" s="92"/>
      <x:c r="F243" s="92"/>
      <x:c r="G243" s="92"/>
      <x:c r="H243" s="92"/>
      <x:c r="I243" s="92"/>
      <x:c r="J243" s="92"/>
      <x:c r="K243" s="92"/>
      <x:c r="L243" s="92"/>
    </x:row>
    <x:row r="244">
      <x:c r="A244" s="94"/>
      <x:c r="B244" s="92"/>
      <x:c r="C244" s="92"/>
      <x:c r="D244" s="96"/>
      <x:c r="E244" s="92"/>
      <x:c r="F244" s="92"/>
      <x:c r="G244" s="92"/>
      <x:c r="H244" s="92"/>
      <x:c r="I244" s="92"/>
      <x:c r="J244" s="92"/>
      <x:c r="K244" s="92"/>
      <x:c r="L244" s="92"/>
    </x:row>
    <x:row r="245">
      <x:c r="A245" s="94"/>
      <x:c r="B245" s="92"/>
      <x:c r="C245" s="92"/>
      <x:c r="D245" s="96"/>
      <x:c r="E245" s="92"/>
      <x:c r="F245" s="92"/>
      <x:c r="G245" s="92"/>
      <x:c r="H245" s="92"/>
      <x:c r="I245" s="92"/>
      <x:c r="J245" s="92"/>
      <x:c r="K245" s="92"/>
      <x:c r="L245" s="92"/>
    </x:row>
    <x:row r="246">
      <x:c r="A246" s="94"/>
      <x:c r="B246" s="92"/>
      <x:c r="C246" s="92"/>
      <x:c r="D246" s="96"/>
      <x:c r="E246" s="92"/>
      <x:c r="F246" s="92"/>
      <x:c r="G246" s="92"/>
      <x:c r="H246" s="92"/>
      <x:c r="I246" s="92"/>
      <x:c r="J246" s="92"/>
      <x:c r="K246" s="92"/>
      <x:c r="L246" s="92"/>
    </x:row>
    <x:row r="247">
      <x:c r="A247" s="94"/>
      <x:c r="B247" s="92"/>
      <x:c r="C247" s="92"/>
      <x:c r="D247" s="96"/>
      <x:c r="E247" s="92"/>
      <x:c r="F247" s="92"/>
      <x:c r="G247" s="92"/>
      <x:c r="H247" s="92"/>
      <x:c r="I247" s="92"/>
      <x:c r="J247" s="92"/>
      <x:c r="K247" s="92"/>
      <x:c r="L247" s="92"/>
    </x:row>
    <x:row r="248">
      <x:c r="A248" s="94"/>
      <x:c r="B248" s="92"/>
      <x:c r="C248" s="92"/>
      <x:c r="D248" s="96"/>
      <x:c r="E248" s="92"/>
      <x:c r="F248" s="92"/>
      <x:c r="G248" s="92"/>
      <x:c r="H248" s="92"/>
      <x:c r="I248" s="92"/>
      <x:c r="J248" s="92"/>
      <x:c r="K248" s="92"/>
      <x:c r="L248" s="92"/>
    </x:row>
    <x:row r="249">
      <x:c r="A249" s="94"/>
      <x:c r="B249" s="92"/>
      <x:c r="C249" s="92"/>
      <x:c r="D249" s="96"/>
      <x:c r="E249" s="92"/>
      <x:c r="F249" s="92"/>
      <x:c r="G249" s="92"/>
      <x:c r="H249" s="92"/>
      <x:c r="I249" s="92"/>
      <x:c r="J249" s="92"/>
      <x:c r="K249" s="92"/>
      <x:c r="L249" s="92"/>
    </x:row>
    <x:row r="250">
      <x:c r="A250" s="94"/>
      <x:c r="B250" s="92"/>
      <x:c r="C250" s="92"/>
      <x:c r="D250" s="96"/>
      <x:c r="E250" s="92"/>
      <x:c r="F250" s="92"/>
      <x:c r="G250" s="92"/>
      <x:c r="H250" s="92"/>
      <x:c r="I250" s="92"/>
      <x:c r="J250" s="92"/>
      <x:c r="K250" s="92"/>
      <x:c r="L250" s="92"/>
    </x:row>
    <x:row r="251">
      <x:c r="A251" s="94"/>
      <x:c r="B251" s="92"/>
      <x:c r="C251" s="92"/>
      <x:c r="D251" s="96"/>
      <x:c r="E251" s="92"/>
      <x:c r="F251" s="92"/>
      <x:c r="G251" s="92"/>
      <x:c r="H251" s="92"/>
      <x:c r="I251" s="92"/>
      <x:c r="J251" s="92"/>
      <x:c r="K251" s="92"/>
      <x:c r="L251" s="92"/>
    </x:row>
    <x:row r="252">
      <x:c r="A252" s="94"/>
      <x:c r="B252" s="92"/>
      <x:c r="C252" s="92"/>
      <x:c r="D252" s="96"/>
      <x:c r="E252" s="92"/>
      <x:c r="F252" s="92"/>
      <x:c r="G252" s="92"/>
      <x:c r="H252" s="92"/>
      <x:c r="I252" s="92"/>
      <x:c r="J252" s="92"/>
      <x:c r="K252" s="92"/>
      <x:c r="L252" s="92"/>
    </x:row>
    <x:row r="253">
      <x:c r="A253" s="94"/>
      <x:c r="B253" s="92"/>
      <x:c r="C253" s="92"/>
      <x:c r="D253" s="96"/>
      <x:c r="E253" s="92"/>
      <x:c r="F253" s="92"/>
      <x:c r="G253" s="92"/>
      <x:c r="H253" s="92"/>
      <x:c r="I253" s="92"/>
      <x:c r="J253" s="92"/>
      <x:c r="K253" s="92"/>
      <x:c r="L253" s="92"/>
    </x:row>
    <x:row r="254">
      <x:c r="A254" s="94"/>
      <x:c r="B254" s="92"/>
      <x:c r="C254" s="92"/>
      <x:c r="D254" s="96"/>
      <x:c r="E254" s="92"/>
      <x:c r="F254" s="92"/>
      <x:c r="G254" s="92"/>
      <x:c r="H254" s="92"/>
      <x:c r="I254" s="92"/>
      <x:c r="J254" s="92"/>
      <x:c r="K254" s="92"/>
      <x:c r="L254" s="92"/>
    </x:row>
    <x:row r="255">
      <x:c r="A255" s="94"/>
      <x:c r="B255" s="92"/>
      <x:c r="C255" s="92"/>
      <x:c r="D255" s="96"/>
      <x:c r="E255" s="92"/>
      <x:c r="F255" s="92"/>
      <x:c r="G255" s="92"/>
      <x:c r="H255" s="92"/>
      <x:c r="I255" s="92"/>
      <x:c r="J255" s="92"/>
      <x:c r="K255" s="92"/>
      <x:c r="L255" s="92"/>
    </x:row>
    <x:row r="256">
      <x:c r="A256" s="94"/>
      <x:c r="B256" s="92"/>
      <x:c r="C256" s="92"/>
      <x:c r="D256" s="96"/>
      <x:c r="E256" s="92"/>
      <x:c r="F256" s="92"/>
      <x:c r="G256" s="92"/>
      <x:c r="H256" s="92"/>
      <x:c r="I256" s="92"/>
      <x:c r="J256" s="92"/>
      <x:c r="K256" s="92"/>
      <x:c r="L256" s="92"/>
    </x:row>
    <x:row r="257">
      <x:c r="A257" s="94"/>
      <x:c r="B257" s="92"/>
      <x:c r="C257" s="92"/>
      <x:c r="D257" s="96"/>
      <x:c r="E257" s="92"/>
      <x:c r="F257" s="92"/>
      <x:c r="G257" s="92"/>
      <x:c r="H257" s="92"/>
      <x:c r="I257" s="92"/>
      <x:c r="J257" s="92"/>
      <x:c r="K257" s="92"/>
      <x:c r="L257" s="92"/>
    </x:row>
    <x:row r="258">
      <x:c r="A258" s="94"/>
      <x:c r="B258" s="92"/>
      <x:c r="C258" s="92"/>
      <x:c r="D258" s="96"/>
      <x:c r="E258" s="92"/>
      <x:c r="F258" s="92"/>
      <x:c r="G258" s="92"/>
      <x:c r="H258" s="92"/>
      <x:c r="I258" s="92"/>
      <x:c r="J258" s="92"/>
      <x:c r="K258" s="92"/>
      <x:c r="L258" s="92"/>
    </x:row>
    <x:row r="259">
      <x:c r="A259" s="94"/>
      <x:c r="B259" s="92"/>
      <x:c r="C259" s="92"/>
      <x:c r="D259" s="96"/>
      <x:c r="E259" s="92"/>
      <x:c r="F259" s="92"/>
      <x:c r="G259" s="92"/>
      <x:c r="H259" s="92"/>
      <x:c r="I259" s="92"/>
      <x:c r="J259" s="92"/>
      <x:c r="K259" s="92"/>
      <x:c r="L259" s="92"/>
    </x:row>
    <x:row r="260">
      <x:c r="A260" s="94"/>
      <x:c r="B260" s="92"/>
      <x:c r="C260" s="92"/>
      <x:c r="D260" s="96"/>
      <x:c r="E260" s="92"/>
      <x:c r="F260" s="92"/>
      <x:c r="G260" s="92"/>
      <x:c r="H260" s="92"/>
      <x:c r="I260" s="92"/>
      <x:c r="J260" s="92"/>
      <x:c r="K260" s="92"/>
      <x:c r="L260" s="92"/>
    </x:row>
    <x:row r="261">
      <x:c r="A261" s="94"/>
      <x:c r="B261" s="92"/>
      <x:c r="C261" s="92"/>
      <x:c r="D261" s="96"/>
      <x:c r="E261" s="92"/>
      <x:c r="F261" s="92"/>
      <x:c r="G261" s="92"/>
      <x:c r="H261" s="92"/>
      <x:c r="I261" s="92"/>
      <x:c r="J261" s="92"/>
      <x:c r="K261" s="92"/>
      <x:c r="L261" s="92"/>
    </x:row>
    <x:row r="262">
      <x:c r="A262" s="94"/>
      <x:c r="B262" s="92"/>
      <x:c r="C262" s="92"/>
      <x:c r="D262" s="96"/>
      <x:c r="E262" s="92"/>
      <x:c r="F262" s="92"/>
      <x:c r="G262" s="92"/>
      <x:c r="H262" s="92"/>
      <x:c r="I262" s="92"/>
      <x:c r="J262" s="92"/>
      <x:c r="K262" s="92"/>
      <x:c r="L262" s="92"/>
    </x:row>
    <x:row r="263">
      <x:c r="A263" s="94"/>
      <x:c r="B263" s="92"/>
      <x:c r="C263" s="92"/>
      <x:c r="D263" s="96"/>
      <x:c r="E263" s="92"/>
      <x:c r="F263" s="92"/>
      <x:c r="G263" s="92"/>
      <x:c r="H263" s="92"/>
      <x:c r="I263" s="92"/>
      <x:c r="J263" s="92"/>
      <x:c r="K263" s="92"/>
      <x:c r="L263" s="92"/>
    </x:row>
    <x:row r="264">
      <x:c r="A264" s="94"/>
      <x:c r="B264" s="92"/>
      <x:c r="C264" s="92"/>
      <x:c r="D264" s="96"/>
      <x:c r="E264" s="92"/>
      <x:c r="F264" s="92"/>
      <x:c r="G264" s="92"/>
      <x:c r="H264" s="92"/>
      <x:c r="I264" s="92"/>
      <x:c r="J264" s="92"/>
      <x:c r="K264" s="92"/>
      <x:c r="L264" s="92"/>
    </x:row>
    <x:row r="265">
      <x:c r="A265" s="94"/>
      <x:c r="B265" s="92"/>
      <x:c r="C265" s="92"/>
      <x:c r="D265" s="96"/>
      <x:c r="E265" s="92"/>
      <x:c r="F265" s="92"/>
      <x:c r="G265" s="92"/>
      <x:c r="H265" s="92"/>
      <x:c r="I265" s="92"/>
      <x:c r="J265" s="92"/>
      <x:c r="K265" s="92"/>
      <x:c r="L265" s="92"/>
    </x:row>
    <x:row r="266">
      <x:c r="A266" s="94"/>
      <x:c r="B266" s="92"/>
      <x:c r="C266" s="92"/>
      <x:c r="D266" s="96"/>
      <x:c r="E266" s="92"/>
      <x:c r="F266" s="92"/>
      <x:c r="G266" s="92"/>
      <x:c r="H266" s="92"/>
      <x:c r="I266" s="92"/>
      <x:c r="J266" s="92"/>
      <x:c r="K266" s="92"/>
      <x:c r="L266" s="92"/>
    </x:row>
    <x:row r="267">
      <x:c r="A267" s="94"/>
      <x:c r="B267" s="92"/>
      <x:c r="C267" s="92"/>
      <x:c r="D267" s="96"/>
      <x:c r="E267" s="92"/>
      <x:c r="F267" s="92"/>
      <x:c r="G267" s="92"/>
      <x:c r="H267" s="92"/>
      <x:c r="I267" s="92"/>
      <x:c r="J267" s="92"/>
      <x:c r="K267" s="92"/>
      <x:c r="L267" s="92"/>
    </x:row>
    <x:row r="268">
      <x:c r="A268" s="94"/>
      <x:c r="B268" s="92"/>
      <x:c r="C268" s="92"/>
      <x:c r="D268" s="96"/>
      <x:c r="E268" s="92"/>
      <x:c r="F268" s="92"/>
      <x:c r="G268" s="92"/>
      <x:c r="H268" s="92"/>
      <x:c r="I268" s="92"/>
      <x:c r="J268" s="92"/>
      <x:c r="K268" s="92"/>
      <x:c r="L268" s="92"/>
    </x:row>
    <x:row r="269">
      <x:c r="A269" s="94"/>
      <x:c r="B269" s="92"/>
      <x:c r="C269" s="92"/>
      <x:c r="D269" s="96"/>
      <x:c r="E269" s="92"/>
      <x:c r="F269" s="92"/>
      <x:c r="G269" s="92"/>
      <x:c r="H269" s="92"/>
      <x:c r="I269" s="92"/>
      <x:c r="J269" s="92"/>
      <x:c r="K269" s="92"/>
      <x:c r="L269" s="92"/>
    </x:row>
    <x:row r="270">
      <x:c r="A270" s="94"/>
      <x:c r="B270" s="92"/>
      <x:c r="C270" s="92"/>
      <x:c r="D270" s="96"/>
      <x:c r="E270" s="92"/>
      <x:c r="F270" s="92"/>
      <x:c r="G270" s="92"/>
      <x:c r="H270" s="92"/>
      <x:c r="I270" s="92"/>
      <x:c r="J270" s="92"/>
      <x:c r="K270" s="92"/>
      <x:c r="L270" s="92"/>
    </x:row>
    <x:row r="271">
      <x:c r="A271" s="94"/>
      <x:c r="B271" s="92"/>
      <x:c r="C271" s="92"/>
      <x:c r="D271" s="96"/>
      <x:c r="E271" s="92"/>
      <x:c r="F271" s="92"/>
      <x:c r="G271" s="92"/>
      <x:c r="H271" s="92"/>
      <x:c r="I271" s="92"/>
      <x:c r="J271" s="92"/>
      <x:c r="K271" s="92"/>
      <x:c r="L271" s="92"/>
    </x:row>
    <x:row r="272">
      <x:c r="A272" s="94"/>
      <x:c r="B272" s="92"/>
      <x:c r="C272" s="92"/>
      <x:c r="D272" s="96"/>
      <x:c r="E272" s="92"/>
      <x:c r="F272" s="92"/>
      <x:c r="G272" s="92"/>
      <x:c r="H272" s="92"/>
      <x:c r="I272" s="92"/>
      <x:c r="J272" s="92"/>
      <x:c r="K272" s="92"/>
      <x:c r="L272" s="92"/>
    </x:row>
    <x:row r="273">
      <x:c r="A273" s="94"/>
      <x:c r="B273" s="92"/>
      <x:c r="C273" s="92"/>
      <x:c r="D273" s="96"/>
      <x:c r="E273" s="92"/>
      <x:c r="F273" s="92"/>
      <x:c r="G273" s="92"/>
      <x:c r="H273" s="92"/>
      <x:c r="I273" s="92"/>
      <x:c r="J273" s="92"/>
      <x:c r="K273" s="92"/>
      <x:c r="L273" s="92"/>
    </x:row>
    <x:row r="274">
      <x:c r="A274" s="94"/>
      <x:c r="B274" s="92"/>
      <x:c r="C274" s="92"/>
      <x:c r="D274" s="96"/>
      <x:c r="E274" s="92"/>
      <x:c r="F274" s="92"/>
      <x:c r="G274" s="92"/>
      <x:c r="H274" s="92"/>
      <x:c r="I274" s="92"/>
      <x:c r="J274" s="92"/>
      <x:c r="K274" s="92"/>
      <x:c r="L274" s="92"/>
    </x:row>
    <x:row r="275">
      <x:c r="A275" s="94"/>
      <x:c r="B275" s="92"/>
      <x:c r="C275" s="92"/>
      <x:c r="D275" s="96"/>
      <x:c r="E275" s="92"/>
      <x:c r="F275" s="92"/>
      <x:c r="G275" s="92"/>
      <x:c r="H275" s="92"/>
      <x:c r="I275" s="92"/>
      <x:c r="J275" s="92"/>
      <x:c r="K275" s="92"/>
      <x:c r="L275" s="92"/>
    </x:row>
    <x:row r="276">
      <x:c r="A276" s="94"/>
      <x:c r="B276" s="92"/>
      <x:c r="C276" s="92"/>
      <x:c r="D276" s="96"/>
      <x:c r="E276" s="92"/>
      <x:c r="F276" s="92"/>
      <x:c r="G276" s="92"/>
      <x:c r="H276" s="92"/>
      <x:c r="I276" s="92"/>
      <x:c r="J276" s="92"/>
      <x:c r="K276" s="92"/>
      <x:c r="L276" s="92"/>
    </x:row>
    <x:row r="277">
      <x:c r="A277" s="94"/>
      <x:c r="B277" s="92"/>
      <x:c r="C277" s="92"/>
      <x:c r="D277" s="96"/>
      <x:c r="E277" s="92"/>
      <x:c r="F277" s="92"/>
      <x:c r="G277" s="92"/>
      <x:c r="H277" s="92"/>
      <x:c r="I277" s="92"/>
      <x:c r="J277" s="92"/>
      <x:c r="K277" s="92"/>
      <x:c r="L277" s="92"/>
    </x:row>
    <x:row r="278">
      <x:c r="A278" s="94"/>
      <x:c r="B278" s="92"/>
      <x:c r="C278" s="92"/>
      <x:c r="D278" s="96"/>
      <x:c r="E278" s="92"/>
      <x:c r="F278" s="92"/>
      <x:c r="G278" s="92"/>
      <x:c r="H278" s="92"/>
      <x:c r="I278" s="92"/>
      <x:c r="J278" s="92"/>
      <x:c r="K278" s="92"/>
      <x:c r="L278" s="92"/>
    </x:row>
    <x:row r="279">
      <x:c r="A279" s="94"/>
      <x:c r="B279" s="92"/>
      <x:c r="C279" s="92"/>
      <x:c r="D279" s="96"/>
      <x:c r="E279" s="92"/>
      <x:c r="F279" s="92"/>
      <x:c r="G279" s="92"/>
      <x:c r="H279" s="92"/>
      <x:c r="I279" s="92"/>
      <x:c r="J279" s="92"/>
      <x:c r="K279" s="92"/>
      <x:c r="L279" s="92"/>
    </x:row>
    <x:row r="280">
      <x:c r="A280" s="94"/>
      <x:c r="B280" s="92"/>
      <x:c r="C280" s="92"/>
      <x:c r="D280" s="96"/>
      <x:c r="E280" s="92"/>
      <x:c r="F280" s="92"/>
      <x:c r="G280" s="92"/>
      <x:c r="H280" s="92"/>
      <x:c r="I280" s="92"/>
      <x:c r="J280" s="92"/>
      <x:c r="K280" s="92"/>
      <x:c r="L280" s="92"/>
    </x:row>
    <x:row r="281">
      <x:c r="A281" s="94"/>
      <x:c r="B281" s="92"/>
      <x:c r="C281" s="92"/>
      <x:c r="D281" s="96"/>
      <x:c r="E281" s="92"/>
      <x:c r="F281" s="92"/>
      <x:c r="G281" s="92"/>
      <x:c r="H281" s="92"/>
      <x:c r="I281" s="92"/>
      <x:c r="J281" s="92"/>
      <x:c r="K281" s="92"/>
      <x:c r="L281" s="92"/>
    </x:row>
    <x:row r="282">
      <x:c r="A282" s="94"/>
      <x:c r="B282" s="92"/>
      <x:c r="C282" s="92"/>
      <x:c r="D282" s="96"/>
      <x:c r="E282" s="92"/>
      <x:c r="F282" s="92"/>
      <x:c r="G282" s="92"/>
      <x:c r="H282" s="92"/>
      <x:c r="I282" s="92"/>
      <x:c r="J282" s="92"/>
      <x:c r="K282" s="92"/>
      <x:c r="L282" s="92"/>
    </x:row>
    <x:row r="283">
      <x:c r="A283" s="94"/>
      <x:c r="B283" s="92"/>
      <x:c r="C283" s="92"/>
      <x:c r="D283" s="96"/>
      <x:c r="E283" s="92"/>
      <x:c r="F283" s="92"/>
      <x:c r="G283" s="92"/>
      <x:c r="H283" s="92"/>
      <x:c r="I283" s="92"/>
      <x:c r="J283" s="92"/>
      <x:c r="K283" s="92"/>
      <x:c r="L283" s="92"/>
    </x:row>
    <x:row r="284">
      <x:c r="A284" s="94"/>
      <x:c r="B284" s="92"/>
      <x:c r="C284" s="92"/>
      <x:c r="D284" s="96"/>
      <x:c r="E284" s="92"/>
      <x:c r="F284" s="92"/>
      <x:c r="G284" s="92"/>
      <x:c r="H284" s="92"/>
      <x:c r="I284" s="92"/>
      <x:c r="J284" s="92"/>
      <x:c r="K284" s="92"/>
      <x:c r="L284" s="92"/>
    </x:row>
    <x:row r="285">
      <x:c r="A285" s="94"/>
      <x:c r="B285" s="92"/>
      <x:c r="C285" s="92"/>
      <x:c r="D285" s="96"/>
      <x:c r="E285" s="92"/>
      <x:c r="F285" s="92"/>
      <x:c r="G285" s="92"/>
      <x:c r="H285" s="92"/>
      <x:c r="I285" s="92"/>
      <x:c r="J285" s="92"/>
      <x:c r="K285" s="92"/>
      <x:c r="L285" s="92"/>
    </x:row>
    <x:row r="286">
      <x:c r="A286" s="94"/>
      <x:c r="B286" s="92"/>
      <x:c r="C286" s="92"/>
      <x:c r="D286" s="96"/>
      <x:c r="E286" s="92"/>
      <x:c r="F286" s="92"/>
      <x:c r="G286" s="92"/>
      <x:c r="H286" s="92"/>
      <x:c r="I286" s="92"/>
      <x:c r="J286" s="92"/>
      <x:c r="K286" s="92"/>
      <x:c r="L286" s="92"/>
    </x:row>
    <x:row r="287">
      <x:c r="A287" s="94"/>
      <x:c r="B287" s="92"/>
      <x:c r="C287" s="92"/>
      <x:c r="D287" s="96"/>
      <x:c r="E287" s="92"/>
      <x:c r="F287" s="92"/>
      <x:c r="G287" s="92"/>
      <x:c r="H287" s="92"/>
      <x:c r="I287" s="92"/>
      <x:c r="J287" s="92"/>
      <x:c r="K287" s="92"/>
      <x:c r="L287" s="92"/>
    </x:row>
    <x:row r="288">
      <x:c r="A288" s="94"/>
      <x:c r="B288" s="92"/>
      <x:c r="C288" s="92"/>
      <x:c r="D288" s="96"/>
      <x:c r="E288" s="92"/>
      <x:c r="F288" s="92"/>
      <x:c r="G288" s="92"/>
      <x:c r="H288" s="92"/>
      <x:c r="I288" s="92"/>
      <x:c r="J288" s="92"/>
      <x:c r="K288" s="92"/>
      <x:c r="L288" s="92"/>
    </x:row>
    <x:row r="289">
      <x:c r="A289" s="94"/>
      <x:c r="B289" s="92"/>
      <x:c r="C289" s="92"/>
      <x:c r="D289" s="96"/>
      <x:c r="E289" s="92"/>
      <x:c r="F289" s="92"/>
      <x:c r="G289" s="92"/>
      <x:c r="H289" s="92"/>
      <x:c r="I289" s="92"/>
      <x:c r="J289" s="92"/>
      <x:c r="K289" s="92"/>
      <x:c r="L289" s="92"/>
    </x:row>
    <x:row r="290">
      <x:c r="A290" s="94"/>
      <x:c r="B290" s="92"/>
      <x:c r="C290" s="92"/>
      <x:c r="D290" s="96"/>
      <x:c r="E290" s="92"/>
      <x:c r="F290" s="92"/>
      <x:c r="G290" s="92"/>
      <x:c r="H290" s="92"/>
      <x:c r="I290" s="92"/>
      <x:c r="J290" s="92"/>
      <x:c r="K290" s="92"/>
      <x:c r="L290" s="92"/>
    </x:row>
    <x:row r="291">
      <x:c r="A291" s="94"/>
      <x:c r="B291" s="92"/>
      <x:c r="C291" s="92"/>
      <x:c r="D291" s="96"/>
      <x:c r="E291" s="92"/>
      <x:c r="F291" s="92"/>
      <x:c r="G291" s="92"/>
      <x:c r="H291" s="92"/>
      <x:c r="I291" s="92"/>
      <x:c r="J291" s="92"/>
      <x:c r="K291" s="92"/>
      <x:c r="L291" s="92"/>
    </x:row>
    <x:row r="292">
      <x:c r="A292" s="94"/>
      <x:c r="B292" s="92"/>
      <x:c r="C292" s="92"/>
      <x:c r="D292" s="96"/>
      <x:c r="E292" s="92"/>
      <x:c r="F292" s="92"/>
      <x:c r="G292" s="92"/>
      <x:c r="H292" s="92"/>
      <x:c r="I292" s="92"/>
      <x:c r="J292" s="92"/>
      <x:c r="K292" s="92"/>
      <x:c r="L292" s="92"/>
    </x:row>
    <x:row r="293">
      <x:c r="A293" s="94"/>
      <x:c r="B293" s="92"/>
      <x:c r="C293" s="92"/>
      <x:c r="D293" s="96"/>
      <x:c r="E293" s="92"/>
      <x:c r="F293" s="92"/>
      <x:c r="G293" s="92"/>
      <x:c r="H293" s="92"/>
      <x:c r="I293" s="92"/>
      <x:c r="J293" s="92"/>
      <x:c r="K293" s="92"/>
      <x:c r="L293" s="92"/>
    </x:row>
    <x:row r="294">
      <x:c r="A294" s="94"/>
      <x:c r="B294" s="92"/>
      <x:c r="C294" s="92"/>
      <x:c r="D294" s="96"/>
      <x:c r="E294" s="92"/>
      <x:c r="F294" s="92"/>
      <x:c r="G294" s="92"/>
      <x:c r="H294" s="92"/>
      <x:c r="I294" s="92"/>
      <x:c r="J294" s="92"/>
      <x:c r="K294" s="92"/>
      <x:c r="L294" s="92"/>
    </x:row>
    <x:row r="295">
      <x:c r="A295" s="94"/>
      <x:c r="B295" s="92"/>
      <x:c r="C295" s="92"/>
      <x:c r="D295" s="96"/>
      <x:c r="E295" s="92"/>
      <x:c r="F295" s="92"/>
      <x:c r="G295" s="92"/>
      <x:c r="H295" s="92"/>
      <x:c r="I295" s="92"/>
      <x:c r="J295" s="92"/>
      <x:c r="K295" s="92"/>
      <x:c r="L295" s="92"/>
    </x:row>
    <x:row r="296">
      <x:c r="A296" s="94"/>
      <x:c r="B296" s="92"/>
      <x:c r="C296" s="92"/>
      <x:c r="D296" s="96"/>
      <x:c r="E296" s="92"/>
      <x:c r="F296" s="92"/>
      <x:c r="G296" s="92"/>
      <x:c r="H296" s="92"/>
      <x:c r="I296" s="92"/>
      <x:c r="J296" s="92"/>
      <x:c r="K296" s="92"/>
      <x:c r="L296" s="92"/>
    </x:row>
    <x:row r="297">
      <x:c r="A297" s="94"/>
      <x:c r="B297" s="92"/>
      <x:c r="C297" s="92"/>
      <x:c r="D297" s="96"/>
      <x:c r="E297" s="92"/>
      <x:c r="F297" s="92"/>
      <x:c r="G297" s="92"/>
      <x:c r="H297" s="92"/>
      <x:c r="I297" s="92"/>
      <x:c r="J297" s="92"/>
      <x:c r="K297" s="92"/>
      <x:c r="L297" s="92"/>
    </x:row>
    <x:row r="298">
      <x:c r="A298" s="94"/>
      <x:c r="B298" s="92"/>
      <x:c r="C298" s="92"/>
      <x:c r="D298" s="96"/>
      <x:c r="E298" s="92"/>
      <x:c r="F298" s="92"/>
      <x:c r="G298" s="92"/>
      <x:c r="H298" s="92"/>
      <x:c r="I298" s="92"/>
      <x:c r="J298" s="92"/>
      <x:c r="K298" s="92"/>
      <x:c r="L298" s="92"/>
    </x:row>
    <x:row r="299">
      <x:c r="A299" s="94"/>
      <x:c r="B299" s="92"/>
      <x:c r="C299" s="92"/>
      <x:c r="D299" s="96"/>
      <x:c r="E299" s="92"/>
      <x:c r="F299" s="92"/>
      <x:c r="G299" s="92"/>
      <x:c r="H299" s="92"/>
      <x:c r="I299" s="92"/>
      <x:c r="J299" s="92"/>
      <x:c r="K299" s="92"/>
      <x:c r="L299" s="92"/>
    </x:row>
    <x:row r="300">
      <x:c r="A300" s="94"/>
      <x:c r="B300" s="92"/>
      <x:c r="C300" s="92"/>
      <x:c r="D300" s="96"/>
      <x:c r="E300" s="92"/>
      <x:c r="F300" s="92"/>
      <x:c r="G300" s="92"/>
      <x:c r="H300" s="92"/>
      <x:c r="I300" s="92"/>
      <x:c r="J300" s="92"/>
      <x:c r="K300" s="92"/>
      <x:c r="L300" s="92"/>
    </x:row>
    <x:row r="301">
      <x:c r="A301" s="94"/>
      <x:c r="B301" s="92"/>
      <x:c r="C301" s="92"/>
      <x:c r="D301" s="96"/>
      <x:c r="E301" s="92"/>
      <x:c r="F301" s="92"/>
      <x:c r="G301" s="92"/>
      <x:c r="H301" s="92"/>
      <x:c r="I301" s="92"/>
      <x:c r="J301" s="92"/>
      <x:c r="K301" s="92"/>
      <x:c r="L301" s="92"/>
    </x:row>
    <x:row r="302">
      <x:c r="A302" s="94"/>
      <x:c r="B302" s="92"/>
      <x:c r="C302" s="92"/>
      <x:c r="D302" s="96"/>
      <x:c r="E302" s="92"/>
      <x:c r="F302" s="92"/>
      <x:c r="G302" s="92"/>
      <x:c r="H302" s="92"/>
      <x:c r="I302" s="92"/>
      <x:c r="J302" s="92"/>
      <x:c r="K302" s="92"/>
      <x:c r="L302" s="92"/>
    </x:row>
    <x:row r="303">
      <x:c r="A303" s="94"/>
      <x:c r="B303" s="92"/>
      <x:c r="C303" s="92"/>
      <x:c r="D303" s="96"/>
      <x:c r="E303" s="92"/>
      <x:c r="F303" s="92"/>
      <x:c r="G303" s="92"/>
      <x:c r="H303" s="92"/>
      <x:c r="I303" s="92"/>
      <x:c r="J303" s="92"/>
      <x:c r="K303" s="92"/>
      <x:c r="L303" s="92"/>
    </x:row>
    <x:row r="304">
      <x:c r="A304" s="94"/>
      <x:c r="B304" s="92"/>
      <x:c r="C304" s="92"/>
      <x:c r="D304" s="96"/>
      <x:c r="E304" s="92"/>
      <x:c r="F304" s="92"/>
      <x:c r="G304" s="92"/>
      <x:c r="H304" s="92"/>
      <x:c r="I304" s="92"/>
      <x:c r="J304" s="92"/>
      <x:c r="K304" s="92"/>
      <x:c r="L304" s="92"/>
    </x:row>
    <x:row r="305">
      <x:c r="A305" s="94"/>
      <x:c r="B305" s="92"/>
      <x:c r="C305" s="92"/>
      <x:c r="D305" s="96"/>
      <x:c r="E305" s="92"/>
      <x:c r="F305" s="92"/>
      <x:c r="G305" s="92"/>
      <x:c r="H305" s="92"/>
      <x:c r="I305" s="92"/>
      <x:c r="J305" s="92"/>
      <x:c r="K305" s="92"/>
      <x:c r="L305" s="92"/>
    </x:row>
    <x:row r="306">
      <x:c r="A306" s="94"/>
      <x:c r="B306" s="92"/>
      <x:c r="C306" s="92"/>
      <x:c r="D306" s="96"/>
      <x:c r="E306" s="92"/>
      <x:c r="F306" s="92"/>
      <x:c r="G306" s="92"/>
      <x:c r="H306" s="92"/>
      <x:c r="I306" s="92"/>
      <x:c r="J306" s="92"/>
      <x:c r="K306" s="92"/>
      <x:c r="L306" s="92"/>
    </x:row>
    <x:row r="307">
      <x:c r="A307" s="94"/>
      <x:c r="B307" s="92"/>
      <x:c r="C307" s="92"/>
      <x:c r="D307" s="96"/>
      <x:c r="E307" s="92"/>
      <x:c r="F307" s="92"/>
      <x:c r="G307" s="92"/>
      <x:c r="H307" s="92"/>
      <x:c r="I307" s="92"/>
      <x:c r="J307" s="92"/>
      <x:c r="K307" s="92"/>
      <x:c r="L307" s="92"/>
    </x:row>
    <x:row r="308">
      <x:c r="A308" s="94"/>
      <x:c r="B308" s="92"/>
      <x:c r="C308" s="92"/>
      <x:c r="D308" s="96"/>
      <x:c r="E308" s="92"/>
      <x:c r="F308" s="92"/>
      <x:c r="G308" s="92"/>
      <x:c r="H308" s="92"/>
      <x:c r="I308" s="92"/>
      <x:c r="J308" s="92"/>
      <x:c r="K308" s="92"/>
      <x:c r="L308" s="92"/>
    </x:row>
    <x:row r="309">
      <x:c r="A309" s="94"/>
      <x:c r="B309" s="92"/>
      <x:c r="C309" s="92"/>
      <x:c r="D309" s="96"/>
      <x:c r="E309" s="92"/>
      <x:c r="F309" s="92"/>
      <x:c r="G309" s="92"/>
      <x:c r="H309" s="92"/>
      <x:c r="I309" s="92"/>
      <x:c r="J309" s="92"/>
      <x:c r="K309" s="92"/>
      <x:c r="L309" s="92"/>
    </x:row>
    <x:row r="310">
      <x:c r="A310" s="94"/>
      <x:c r="B310" s="92"/>
      <x:c r="C310" s="92"/>
      <x:c r="D310" s="96"/>
      <x:c r="E310" s="92"/>
      <x:c r="F310" s="92"/>
      <x:c r="G310" s="92"/>
      <x:c r="H310" s="92"/>
      <x:c r="I310" s="92"/>
      <x:c r="J310" s="92"/>
      <x:c r="K310" s="92"/>
      <x:c r="L310" s="92"/>
    </x:row>
    <x:row r="311">
      <x:c r="A311" s="94"/>
      <x:c r="B311" s="92"/>
      <x:c r="C311" s="92"/>
      <x:c r="D311" s="96"/>
      <x:c r="E311" s="92"/>
      <x:c r="F311" s="92"/>
      <x:c r="G311" s="92"/>
      <x:c r="H311" s="92"/>
      <x:c r="I311" s="92"/>
      <x:c r="J311" s="92"/>
      <x:c r="K311" s="92"/>
      <x:c r="L311" s="92"/>
    </x:row>
    <x:row r="312">
      <x:c r="A312" s="94"/>
      <x:c r="B312" s="92"/>
      <x:c r="C312" s="92"/>
      <x:c r="D312" s="96"/>
      <x:c r="E312" s="92"/>
      <x:c r="F312" s="92"/>
      <x:c r="G312" s="92"/>
      <x:c r="H312" s="92"/>
      <x:c r="I312" s="92"/>
      <x:c r="J312" s="92"/>
      <x:c r="K312" s="92"/>
      <x:c r="L312" s="92"/>
    </x:row>
    <x:row r="313">
      <x:c r="A313" s="94"/>
      <x:c r="B313" s="92"/>
      <x:c r="C313" s="92"/>
      <x:c r="D313" s="96"/>
      <x:c r="E313" s="92"/>
      <x:c r="F313" s="92"/>
      <x:c r="G313" s="92"/>
      <x:c r="H313" s="92"/>
      <x:c r="I313" s="92"/>
      <x:c r="J313" s="92"/>
      <x:c r="K313" s="92"/>
      <x:c r="L313" s="92"/>
    </x:row>
    <x:row r="314">
      <x:c r="A314" s="94"/>
      <x:c r="B314" s="92"/>
      <x:c r="C314" s="92"/>
      <x:c r="D314" s="96"/>
      <x:c r="E314" s="92"/>
      <x:c r="F314" s="92"/>
      <x:c r="G314" s="92"/>
      <x:c r="H314" s="92"/>
      <x:c r="I314" s="92"/>
      <x:c r="J314" s="92"/>
      <x:c r="K314" s="92"/>
      <x:c r="L314" s="92"/>
    </x:row>
    <x:row r="315">
      <x:c r="A315" s="94"/>
      <x:c r="B315" s="92"/>
      <x:c r="C315" s="92"/>
      <x:c r="D315" s="96"/>
      <x:c r="E315" s="92"/>
      <x:c r="F315" s="92"/>
      <x:c r="G315" s="92"/>
      <x:c r="H315" s="92"/>
      <x:c r="I315" s="92"/>
      <x:c r="J315" s="92"/>
      <x:c r="K315" s="92"/>
      <x:c r="L315" s="92"/>
    </x:row>
    <x:row r="316">
      <x:c r="A316" s="94"/>
      <x:c r="B316" s="92"/>
      <x:c r="C316" s="92"/>
      <x:c r="D316" s="96"/>
      <x:c r="E316" s="92"/>
      <x:c r="F316" s="92"/>
      <x:c r="G316" s="92"/>
      <x:c r="H316" s="92"/>
      <x:c r="I316" s="92"/>
      <x:c r="J316" s="92"/>
      <x:c r="K316" s="92"/>
      <x:c r="L316" s="92"/>
    </x:row>
    <x:row r="317">
      <x:c r="A317" s="94"/>
      <x:c r="B317" s="92"/>
      <x:c r="C317" s="92"/>
      <x:c r="D317" s="96"/>
      <x:c r="E317" s="92"/>
      <x:c r="F317" s="92"/>
      <x:c r="G317" s="92"/>
      <x:c r="H317" s="92"/>
      <x:c r="I317" s="92"/>
      <x:c r="J317" s="92"/>
      <x:c r="K317" s="92"/>
      <x:c r="L317" s="92"/>
    </x:row>
    <x:row r="318">
      <x:c r="A318" s="94"/>
      <x:c r="B318" s="92"/>
      <x:c r="C318" s="92"/>
      <x:c r="D318" s="96"/>
      <x:c r="E318" s="92"/>
      <x:c r="F318" s="92"/>
      <x:c r="G318" s="92"/>
      <x:c r="H318" s="92"/>
      <x:c r="I318" s="92"/>
      <x:c r="J318" s="92"/>
      <x:c r="K318" s="92"/>
      <x:c r="L318" s="92"/>
    </x:row>
    <x:row r="319">
      <x:c r="A319" s="94"/>
      <x:c r="B319" s="92"/>
      <x:c r="C319" s="92"/>
      <x:c r="D319" s="96"/>
      <x:c r="E319" s="92"/>
      <x:c r="F319" s="92"/>
      <x:c r="G319" s="92"/>
      <x:c r="H319" s="92"/>
      <x:c r="I319" s="92"/>
      <x:c r="J319" s="92"/>
      <x:c r="K319" s="92"/>
      <x:c r="L319" s="92"/>
    </x:row>
    <x:row r="320">
      <x:c r="A320" s="94"/>
      <x:c r="B320" s="92"/>
      <x:c r="C320" s="92"/>
      <x:c r="D320" s="96"/>
      <x:c r="E320" s="92"/>
      <x:c r="F320" s="92"/>
      <x:c r="G320" s="92"/>
      <x:c r="H320" s="92"/>
      <x:c r="I320" s="92"/>
      <x:c r="J320" s="92"/>
      <x:c r="K320" s="92"/>
      <x:c r="L320" s="92"/>
    </x:row>
    <x:row r="321">
      <x:c r="A321" s="94"/>
      <x:c r="B321" s="92"/>
      <x:c r="C321" s="92"/>
      <x:c r="D321" s="96"/>
      <x:c r="E321" s="92"/>
      <x:c r="F321" s="92"/>
      <x:c r="G321" s="92"/>
      <x:c r="H321" s="92"/>
      <x:c r="I321" s="92"/>
      <x:c r="J321" s="92"/>
      <x:c r="K321" s="92"/>
      <x:c r="L321" s="92"/>
    </x:row>
    <x:row r="322">
      <x:c r="A322" s="94"/>
      <x:c r="B322" s="92"/>
      <x:c r="C322" s="92"/>
      <x:c r="D322" s="96"/>
      <x:c r="E322" s="92"/>
      <x:c r="F322" s="92"/>
      <x:c r="G322" s="92"/>
      <x:c r="H322" s="92"/>
      <x:c r="I322" s="92"/>
      <x:c r="J322" s="92"/>
      <x:c r="K322" s="92"/>
      <x:c r="L322" s="92"/>
    </x:row>
    <x:row r="323">
      <x:c r="A323" s="94"/>
      <x:c r="B323" s="92"/>
      <x:c r="C323" s="92"/>
      <x:c r="D323" s="96"/>
      <x:c r="E323" s="92"/>
      <x:c r="F323" s="92"/>
      <x:c r="G323" s="92"/>
      <x:c r="H323" s="92"/>
      <x:c r="I323" s="92"/>
      <x:c r="J323" s="92"/>
      <x:c r="K323" s="92"/>
      <x:c r="L323" s="92"/>
    </x:row>
    <x:row r="324">
      <x:c r="A324" s="94"/>
      <x:c r="B324" s="92"/>
      <x:c r="C324" s="92"/>
      <x:c r="D324" s="96"/>
      <x:c r="E324" s="92"/>
      <x:c r="F324" s="92"/>
      <x:c r="G324" s="92"/>
      <x:c r="H324" s="92"/>
      <x:c r="I324" s="92"/>
      <x:c r="J324" s="92"/>
      <x:c r="K324" s="92"/>
      <x:c r="L324" s="92"/>
    </x:row>
    <x:row r="325">
      <x:c r="A325" s="94"/>
      <x:c r="B325" s="92"/>
      <x:c r="C325" s="92"/>
      <x:c r="D325" s="96"/>
      <x:c r="E325" s="92"/>
      <x:c r="F325" s="92"/>
      <x:c r="G325" s="92"/>
      <x:c r="H325" s="92"/>
      <x:c r="I325" s="92"/>
      <x:c r="J325" s="92"/>
      <x:c r="K325" s="92"/>
      <x:c r="L325" s="92"/>
    </x:row>
    <x:row r="326">
      <x:c r="A326" s="94"/>
      <x:c r="B326" s="92"/>
      <x:c r="C326" s="92"/>
      <x:c r="D326" s="96"/>
      <x:c r="E326" s="92"/>
      <x:c r="F326" s="92"/>
      <x:c r="G326" s="92"/>
      <x:c r="H326" s="92"/>
      <x:c r="I326" s="92"/>
      <x:c r="J326" s="92"/>
      <x:c r="K326" s="92"/>
      <x:c r="L326" s="92"/>
    </x:row>
    <x:row r="327">
      <x:c r="A327" s="94"/>
      <x:c r="B327" s="92"/>
      <x:c r="C327" s="92"/>
      <x:c r="D327" s="96"/>
      <x:c r="E327" s="92"/>
      <x:c r="F327" s="92"/>
      <x:c r="G327" s="92"/>
      <x:c r="H327" s="92"/>
      <x:c r="I327" s="92"/>
      <x:c r="J327" s="92"/>
      <x:c r="K327" s="92"/>
      <x:c r="L327" s="92"/>
    </x:row>
    <x:row r="328">
      <x:c r="A328" s="94"/>
      <x:c r="B328" s="92"/>
      <x:c r="C328" s="92"/>
      <x:c r="D328" s="96"/>
      <x:c r="E328" s="92"/>
      <x:c r="F328" s="92"/>
      <x:c r="G328" s="92"/>
      <x:c r="H328" s="92"/>
      <x:c r="I328" s="92"/>
      <x:c r="J328" s="92"/>
      <x:c r="K328" s="92"/>
      <x:c r="L328" s="92"/>
    </x:row>
    <x:row r="329">
      <x:c r="A329" s="94"/>
      <x:c r="B329" s="92"/>
      <x:c r="C329" s="92"/>
      <x:c r="D329" s="96"/>
      <x:c r="E329" s="92"/>
      <x:c r="F329" s="92"/>
      <x:c r="G329" s="92"/>
      <x:c r="H329" s="92"/>
      <x:c r="I329" s="92"/>
      <x:c r="J329" s="92"/>
      <x:c r="K329" s="92"/>
      <x:c r="L329" s="92"/>
    </x:row>
    <x:row r="330">
      <x:c r="A330" s="94"/>
      <x:c r="B330" s="92"/>
      <x:c r="C330" s="92"/>
      <x:c r="D330" s="96"/>
      <x:c r="E330" s="92"/>
      <x:c r="F330" s="92"/>
      <x:c r="G330" s="92"/>
      <x:c r="H330" s="92"/>
      <x:c r="I330" s="92"/>
      <x:c r="J330" s="92"/>
      <x:c r="K330" s="92"/>
      <x:c r="L330" s="92"/>
    </x:row>
    <x:row r="331">
      <x:c r="A331" s="94"/>
      <x:c r="B331" s="92"/>
      <x:c r="C331" s="92"/>
      <x:c r="D331" s="96"/>
      <x:c r="E331" s="92"/>
      <x:c r="F331" s="92"/>
      <x:c r="G331" s="92"/>
      <x:c r="H331" s="92"/>
      <x:c r="I331" s="92"/>
      <x:c r="J331" s="92"/>
      <x:c r="K331" s="92"/>
      <x:c r="L331" s="92"/>
    </x:row>
    <x:row r="332">
      <x:c r="A332" s="94"/>
      <x:c r="B332" s="92"/>
      <x:c r="C332" s="92"/>
      <x:c r="D332" s="96"/>
      <x:c r="E332" s="92"/>
      <x:c r="F332" s="92"/>
      <x:c r="G332" s="92"/>
      <x:c r="H332" s="92"/>
      <x:c r="I332" s="92"/>
      <x:c r="J332" s="92"/>
      <x:c r="K332" s="92"/>
      <x:c r="L332" s="92"/>
    </x:row>
    <x:row r="333">
      <x:c r="A333" s="94"/>
      <x:c r="B333" s="92"/>
      <x:c r="C333" s="92"/>
      <x:c r="D333" s="96"/>
      <x:c r="E333" s="92"/>
      <x:c r="F333" s="92"/>
      <x:c r="G333" s="92"/>
      <x:c r="H333" s="92"/>
      <x:c r="I333" s="92"/>
      <x:c r="J333" s="92"/>
      <x:c r="K333" s="92"/>
      <x:c r="L333" s="92"/>
    </x:row>
    <x:row r="334">
      <x:c r="A334" s="94"/>
      <x:c r="B334" s="92"/>
      <x:c r="C334" s="92"/>
      <x:c r="D334" s="96"/>
      <x:c r="E334" s="92"/>
      <x:c r="F334" s="92"/>
      <x:c r="G334" s="92"/>
      <x:c r="H334" s="92"/>
      <x:c r="I334" s="92"/>
      <x:c r="J334" s="92"/>
      <x:c r="K334" s="92"/>
      <x:c r="L334" s="92"/>
    </x:row>
    <x:row r="335">
      <x:c r="A335" s="94"/>
      <x:c r="B335" s="92"/>
      <x:c r="C335" s="92"/>
      <x:c r="D335" s="96"/>
      <x:c r="E335" s="92"/>
      <x:c r="F335" s="92"/>
      <x:c r="G335" s="92"/>
      <x:c r="H335" s="92"/>
      <x:c r="I335" s="92"/>
      <x:c r="J335" s="92"/>
      <x:c r="K335" s="92"/>
      <x:c r="L335" s="92"/>
    </x:row>
    <x:row r="336">
      <x:c r="A336" s="94"/>
      <x:c r="B336" s="92"/>
      <x:c r="C336" s="92"/>
      <x:c r="D336" s="96"/>
      <x:c r="E336" s="92"/>
      <x:c r="F336" s="92"/>
      <x:c r="G336" s="92"/>
      <x:c r="H336" s="92"/>
      <x:c r="I336" s="92"/>
      <x:c r="J336" s="92"/>
      <x:c r="K336" s="92"/>
      <x:c r="L336" s="92"/>
    </x:row>
    <x:row r="337">
      <x:c r="A337" s="94"/>
      <x:c r="B337" s="92"/>
      <x:c r="C337" s="92"/>
      <x:c r="D337" s="96"/>
      <x:c r="E337" s="92"/>
      <x:c r="F337" s="92"/>
      <x:c r="G337" s="92"/>
      <x:c r="H337" s="92"/>
      <x:c r="I337" s="92"/>
      <x:c r="J337" s="92"/>
      <x:c r="K337" s="92"/>
      <x:c r="L337" s="92"/>
    </x:row>
    <x:row r="338">
      <x:c r="A338" s="94"/>
      <x:c r="B338" s="92"/>
      <x:c r="C338" s="92"/>
      <x:c r="D338" s="96"/>
      <x:c r="E338" s="92"/>
      <x:c r="F338" s="92"/>
      <x:c r="G338" s="92"/>
      <x:c r="H338" s="92"/>
      <x:c r="I338" s="92"/>
      <x:c r="J338" s="92"/>
      <x:c r="K338" s="92"/>
      <x:c r="L338" s="92"/>
    </x:row>
    <x:row r="339">
      <x:c r="A339" s="94"/>
      <x:c r="B339" s="92"/>
      <x:c r="C339" s="92"/>
      <x:c r="D339" s="96"/>
      <x:c r="E339" s="92"/>
      <x:c r="F339" s="92"/>
      <x:c r="G339" s="92"/>
      <x:c r="H339" s="92"/>
      <x:c r="I339" s="92"/>
      <x:c r="J339" s="92"/>
      <x:c r="K339" s="92"/>
      <x:c r="L339" s="92"/>
    </x:row>
    <x:row r="340">
      <x:c r="A340" s="94"/>
      <x:c r="B340" s="92"/>
      <x:c r="C340" s="92"/>
      <x:c r="D340" s="96"/>
      <x:c r="E340" s="92"/>
      <x:c r="F340" s="92"/>
      <x:c r="G340" s="92"/>
      <x:c r="H340" s="92"/>
      <x:c r="I340" s="92"/>
      <x:c r="J340" s="92"/>
      <x:c r="K340" s="92"/>
      <x:c r="L340" s="92"/>
    </x:row>
    <x:row r="341">
      <x:c r="A341" s="94"/>
      <x:c r="B341" s="92"/>
      <x:c r="C341" s="92"/>
      <x:c r="D341" s="96"/>
      <x:c r="E341" s="92"/>
      <x:c r="F341" s="92"/>
      <x:c r="G341" s="92"/>
      <x:c r="H341" s="92"/>
      <x:c r="I341" s="92"/>
      <x:c r="J341" s="92"/>
      <x:c r="K341" s="92"/>
      <x:c r="L341" s="92"/>
    </x:row>
    <x:row r="342">
      <x:c r="A342" s="94"/>
      <x:c r="B342" s="92"/>
      <x:c r="C342" s="92"/>
      <x:c r="D342" s="96"/>
      <x:c r="E342" s="92"/>
      <x:c r="F342" s="92"/>
      <x:c r="G342" s="92"/>
      <x:c r="H342" s="92"/>
      <x:c r="I342" s="92"/>
      <x:c r="J342" s="92"/>
      <x:c r="K342" s="92"/>
      <x:c r="L342" s="92"/>
    </x:row>
    <x:row r="343">
      <x:c r="A343" s="94"/>
      <x:c r="B343" s="92"/>
      <x:c r="C343" s="92"/>
      <x:c r="D343" s="96"/>
      <x:c r="E343" s="92"/>
      <x:c r="F343" s="92"/>
      <x:c r="G343" s="92"/>
      <x:c r="H343" s="92"/>
      <x:c r="I343" s="92"/>
      <x:c r="J343" s="92"/>
      <x:c r="K343" s="92"/>
      <x:c r="L343" s="92"/>
    </x:row>
    <x:row r="344">
      <x:c r="A344" s="94"/>
      <x:c r="B344" s="92"/>
      <x:c r="C344" s="92"/>
      <x:c r="D344" s="96"/>
      <x:c r="E344" s="92"/>
      <x:c r="F344" s="92"/>
      <x:c r="G344" s="92"/>
      <x:c r="H344" s="92"/>
      <x:c r="I344" s="92"/>
      <x:c r="J344" s="92"/>
      <x:c r="K344" s="92"/>
      <x:c r="L344" s="92"/>
    </x:row>
    <x:row r="345">
      <x:c r="A345" s="94"/>
      <x:c r="B345" s="92"/>
      <x:c r="C345" s="92"/>
      <x:c r="D345" s="96"/>
      <x:c r="E345" s="92"/>
      <x:c r="F345" s="92"/>
      <x:c r="G345" s="92"/>
      <x:c r="H345" s="92"/>
      <x:c r="I345" s="92"/>
      <x:c r="J345" s="92"/>
      <x:c r="K345" s="92"/>
      <x:c r="L345" s="92"/>
    </x:row>
    <x:row r="346">
      <x:c r="A346" s="94"/>
      <x:c r="B346" s="92"/>
      <x:c r="C346" s="92"/>
      <x:c r="D346" s="96"/>
      <x:c r="E346" s="92"/>
      <x:c r="F346" s="92"/>
      <x:c r="G346" s="92"/>
      <x:c r="H346" s="92"/>
      <x:c r="I346" s="92"/>
      <x:c r="J346" s="92"/>
      <x:c r="K346" s="92"/>
      <x:c r="L346" s="92"/>
    </x:row>
    <x:row r="347">
      <x:c r="A347" s="94"/>
      <x:c r="B347" s="92"/>
      <x:c r="C347" s="92"/>
      <x:c r="D347" s="96"/>
      <x:c r="E347" s="92"/>
      <x:c r="F347" s="92"/>
      <x:c r="G347" s="92"/>
      <x:c r="H347" s="92"/>
      <x:c r="I347" s="92"/>
      <x:c r="J347" s="92"/>
      <x:c r="K347" s="92"/>
      <x:c r="L347" s="92"/>
    </x:row>
    <x:row r="348">
      <x:c r="A348" s="94"/>
      <x:c r="B348" s="92"/>
      <x:c r="C348" s="92"/>
      <x:c r="D348" s="96"/>
      <x:c r="E348" s="92"/>
      <x:c r="F348" s="92"/>
      <x:c r="G348" s="92"/>
      <x:c r="H348" s="92"/>
      <x:c r="I348" s="92"/>
      <x:c r="J348" s="92"/>
      <x:c r="K348" s="92"/>
      <x:c r="L348" s="92"/>
    </x:row>
    <x:row r="349">
      <x:c r="A349" s="94"/>
      <x:c r="B349" s="92"/>
      <x:c r="C349" s="92"/>
      <x:c r="D349" s="96"/>
      <x:c r="E349" s="92"/>
      <x:c r="F349" s="92"/>
      <x:c r="G349" s="92"/>
      <x:c r="H349" s="92"/>
      <x:c r="I349" s="92"/>
      <x:c r="J349" s="92"/>
      <x:c r="K349" s="92"/>
      <x:c r="L349" s="92"/>
    </x:row>
    <x:row r="350">
      <x:c r="A350" s="94"/>
      <x:c r="B350" s="92"/>
      <x:c r="C350" s="92"/>
      <x:c r="D350" s="96"/>
      <x:c r="E350" s="92"/>
      <x:c r="F350" s="92"/>
      <x:c r="G350" s="92"/>
      <x:c r="H350" s="92"/>
      <x:c r="I350" s="92"/>
      <x:c r="J350" s="92"/>
      <x:c r="K350" s="92"/>
      <x:c r="L350" s="92"/>
    </x:row>
    <x:row r="351">
      <x:c r="A351" s="94"/>
      <x:c r="B351" s="92"/>
      <x:c r="C351" s="92"/>
      <x:c r="D351" s="96"/>
      <x:c r="E351" s="92"/>
      <x:c r="F351" s="92"/>
      <x:c r="G351" s="92"/>
      <x:c r="H351" s="92"/>
      <x:c r="I351" s="92"/>
      <x:c r="J351" s="92"/>
      <x:c r="K351" s="92"/>
      <x:c r="L351" s="92"/>
    </x:row>
    <x:row r="352">
      <x:c r="A352" s="94"/>
      <x:c r="B352" s="92"/>
      <x:c r="C352" s="92"/>
      <x:c r="D352" s="96"/>
      <x:c r="E352" s="92"/>
      <x:c r="F352" s="92"/>
      <x:c r="G352" s="92"/>
      <x:c r="H352" s="92"/>
      <x:c r="I352" s="92"/>
      <x:c r="J352" s="92"/>
      <x:c r="K352" s="92"/>
      <x:c r="L352" s="92"/>
    </x:row>
    <x:row r="353">
      <x:c r="A353" s="94"/>
      <x:c r="B353" s="92"/>
      <x:c r="C353" s="92"/>
      <x:c r="D353" s="96"/>
      <x:c r="E353" s="92"/>
      <x:c r="F353" s="92"/>
      <x:c r="G353" s="92"/>
      <x:c r="H353" s="92"/>
      <x:c r="I353" s="92"/>
      <x:c r="J353" s="92"/>
      <x:c r="K353" s="92"/>
      <x:c r="L353" s="92"/>
    </x:row>
    <x:row r="354">
      <x:c r="A354" s="94"/>
      <x:c r="B354" s="92"/>
      <x:c r="C354" s="92"/>
      <x:c r="D354" s="96"/>
      <x:c r="E354" s="92"/>
      <x:c r="F354" s="92"/>
      <x:c r="G354" s="92"/>
      <x:c r="H354" s="92"/>
      <x:c r="I354" s="92"/>
      <x:c r="J354" s="92"/>
      <x:c r="K354" s="92"/>
      <x:c r="L354" s="92"/>
    </x:row>
    <x:row r="355">
      <x:c r="A355" s="94"/>
      <x:c r="B355" s="92"/>
      <x:c r="C355" s="92"/>
      <x:c r="D355" s="96"/>
      <x:c r="E355" s="92"/>
      <x:c r="F355" s="92"/>
      <x:c r="G355" s="92"/>
      <x:c r="H355" s="92"/>
      <x:c r="I355" s="92"/>
      <x:c r="J355" s="92"/>
      <x:c r="K355" s="92"/>
      <x:c r="L355" s="92"/>
    </x:row>
    <x:row r="356">
      <x:c r="A356" s="94"/>
      <x:c r="B356" s="92"/>
      <x:c r="C356" s="92"/>
      <x:c r="D356" s="96"/>
      <x:c r="E356" s="92"/>
      <x:c r="F356" s="92"/>
      <x:c r="G356" s="92"/>
      <x:c r="H356" s="92"/>
      <x:c r="I356" s="92"/>
      <x:c r="J356" s="92"/>
      <x:c r="K356" s="92"/>
      <x:c r="L356" s="92"/>
    </x:row>
    <x:row r="357">
      <x:c r="A357" s="94"/>
      <x:c r="B357" s="92"/>
      <x:c r="C357" s="92"/>
      <x:c r="D357" s="96"/>
      <x:c r="E357" s="92"/>
      <x:c r="F357" s="92"/>
      <x:c r="G357" s="92"/>
      <x:c r="H357" s="92"/>
      <x:c r="I357" s="92"/>
      <x:c r="J357" s="92"/>
      <x:c r="K357" s="92"/>
      <x:c r="L357" s="92"/>
    </x:row>
    <x:row r="358">
      <x:c r="A358" s="94"/>
      <x:c r="B358" s="92"/>
      <x:c r="C358" s="92"/>
      <x:c r="D358" s="96"/>
      <x:c r="E358" s="92"/>
      <x:c r="F358" s="92"/>
      <x:c r="G358" s="92"/>
      <x:c r="H358" s="92"/>
      <x:c r="I358" s="92"/>
      <x:c r="J358" s="92"/>
      <x:c r="K358" s="92"/>
      <x:c r="L358" s="92"/>
    </x:row>
    <x:row r="359">
      <x:c r="A359" s="94"/>
      <x:c r="B359" s="92"/>
      <x:c r="C359" s="92"/>
      <x:c r="D359" s="96"/>
      <x:c r="E359" s="92"/>
      <x:c r="F359" s="92"/>
      <x:c r="G359" s="92"/>
      <x:c r="H359" s="92"/>
      <x:c r="I359" s="92"/>
      <x:c r="J359" s="92"/>
      <x:c r="K359" s="92"/>
      <x:c r="L359" s="92"/>
    </x:row>
    <x:row r="360">
      <x:c r="A360" s="94"/>
      <x:c r="B360" s="92"/>
      <x:c r="C360" s="92"/>
      <x:c r="D360" s="96"/>
      <x:c r="E360" s="92"/>
      <x:c r="F360" s="92"/>
      <x:c r="G360" s="92"/>
      <x:c r="H360" s="92"/>
      <x:c r="I360" s="92"/>
      <x:c r="J360" s="92"/>
      <x:c r="K360" s="92"/>
      <x:c r="L360" s="92"/>
    </x:row>
    <x:row r="361">
      <x:c r="A361" s="94"/>
      <x:c r="B361" s="92"/>
      <x:c r="C361" s="92"/>
      <x:c r="D361" s="96"/>
      <x:c r="E361" s="92"/>
      <x:c r="F361" s="92"/>
      <x:c r="G361" s="92"/>
      <x:c r="H361" s="92"/>
      <x:c r="I361" s="92"/>
      <x:c r="J361" s="92"/>
      <x:c r="K361" s="92"/>
      <x:c r="L361" s="92"/>
    </x:row>
    <x:row r="362">
      <x:c r="A362" s="94"/>
      <x:c r="B362" s="92"/>
      <x:c r="C362" s="92"/>
      <x:c r="D362" s="96"/>
      <x:c r="E362" s="92"/>
      <x:c r="F362" s="92"/>
      <x:c r="G362" s="92"/>
      <x:c r="H362" s="92"/>
      <x:c r="I362" s="92"/>
      <x:c r="J362" s="92"/>
      <x:c r="K362" s="92"/>
      <x:c r="L362" s="92"/>
    </x:row>
    <x:row r="363">
      <x:c r="A363" s="94"/>
      <x:c r="B363" s="92"/>
      <x:c r="C363" s="92"/>
      <x:c r="D363" s="96"/>
      <x:c r="E363" s="92"/>
      <x:c r="F363" s="92"/>
      <x:c r="G363" s="92"/>
      <x:c r="H363" s="92"/>
      <x:c r="I363" s="92"/>
      <x:c r="J363" s="92"/>
      <x:c r="K363" s="92"/>
      <x:c r="L363" s="92"/>
    </x:row>
    <x:row r="364">
      <x:c r="A364" s="94"/>
      <x:c r="B364" s="92"/>
      <x:c r="C364" s="92"/>
      <x:c r="D364" s="96"/>
      <x:c r="E364" s="92"/>
      <x:c r="F364" s="92"/>
      <x:c r="G364" s="92"/>
      <x:c r="H364" s="92"/>
      <x:c r="I364" s="92"/>
      <x:c r="J364" s="92"/>
      <x:c r="K364" s="92"/>
      <x:c r="L364" s="92"/>
    </x:row>
    <x:row r="365">
      <x:c r="A365" s="94"/>
      <x:c r="B365" s="92"/>
      <x:c r="C365" s="92"/>
      <x:c r="D365" s="96"/>
      <x:c r="E365" s="92"/>
      <x:c r="F365" s="92"/>
      <x:c r="G365" s="92"/>
      <x:c r="H365" s="92"/>
      <x:c r="I365" s="92"/>
      <x:c r="J365" s="92"/>
      <x:c r="K365" s="92"/>
      <x:c r="L365" s="92"/>
    </x:row>
    <x:row r="366">
      <x:c r="A366" s="94"/>
      <x:c r="B366" s="92"/>
      <x:c r="C366" s="92"/>
      <x:c r="D366" s="96"/>
      <x:c r="E366" s="92"/>
      <x:c r="F366" s="92"/>
      <x:c r="G366" s="92"/>
      <x:c r="H366" s="92"/>
      <x:c r="I366" s="92"/>
      <x:c r="J366" s="92"/>
      <x:c r="K366" s="92"/>
      <x:c r="L366" s="92"/>
    </x:row>
    <x:row r="367">
      <x:c r="A367" s="94"/>
      <x:c r="B367" s="92"/>
      <x:c r="C367" s="92"/>
      <x:c r="D367" s="96"/>
      <x:c r="E367" s="92"/>
      <x:c r="F367" s="92"/>
      <x:c r="G367" s="92"/>
      <x:c r="H367" s="92"/>
      <x:c r="I367" s="92"/>
      <x:c r="J367" s="92"/>
      <x:c r="K367" s="92"/>
      <x:c r="L367" s="92"/>
    </x:row>
    <x:row r="368">
      <x:c r="A368" s="94"/>
      <x:c r="B368" s="92"/>
      <x:c r="C368" s="92"/>
      <x:c r="D368" s="96"/>
      <x:c r="E368" s="92"/>
      <x:c r="F368" s="92"/>
      <x:c r="G368" s="92"/>
      <x:c r="H368" s="92"/>
      <x:c r="I368" s="92"/>
      <x:c r="J368" s="92"/>
      <x:c r="K368" s="92"/>
      <x:c r="L368" s="92"/>
    </x:row>
    <x:row r="369">
      <x:c r="A369" s="94"/>
      <x:c r="B369" s="92"/>
      <x:c r="C369" s="92"/>
      <x:c r="D369" s="96"/>
      <x:c r="E369" s="92"/>
      <x:c r="F369" s="92"/>
      <x:c r="G369" s="92"/>
      <x:c r="H369" s="92"/>
      <x:c r="I369" s="92"/>
      <x:c r="J369" s="92"/>
      <x:c r="K369" s="92"/>
      <x:c r="L369" s="92"/>
    </x:row>
    <x:row r="370">
      <x:c r="A370" s="94"/>
      <x:c r="B370" s="92"/>
      <x:c r="C370" s="92"/>
      <x:c r="D370" s="96"/>
      <x:c r="E370" s="92"/>
      <x:c r="F370" s="92"/>
      <x:c r="G370" s="92"/>
      <x:c r="H370" s="92"/>
      <x:c r="I370" s="92"/>
      <x:c r="J370" s="92"/>
      <x:c r="K370" s="92"/>
      <x:c r="L370" s="92"/>
    </x:row>
    <x:row r="371">
      <x:c r="A371" s="94"/>
      <x:c r="B371" s="92"/>
      <x:c r="C371" s="92"/>
      <x:c r="D371" s="96"/>
      <x:c r="E371" s="92"/>
      <x:c r="F371" s="92"/>
      <x:c r="G371" s="92"/>
      <x:c r="H371" s="92"/>
      <x:c r="I371" s="92"/>
      <x:c r="J371" s="92"/>
      <x:c r="K371" s="92"/>
      <x:c r="L371" s="92"/>
    </x:row>
    <x:row r="372">
      <x:c r="A372" s="94"/>
      <x:c r="B372" s="92"/>
      <x:c r="C372" s="92"/>
      <x:c r="D372" s="96"/>
      <x:c r="E372" s="92"/>
      <x:c r="F372" s="92"/>
      <x:c r="G372" s="92"/>
      <x:c r="H372" s="92"/>
      <x:c r="I372" s="92"/>
      <x:c r="J372" s="92"/>
      <x:c r="K372" s="92"/>
      <x:c r="L372" s="92"/>
    </x:row>
    <x:row r="373">
      <x:c r="A373" s="94"/>
      <x:c r="B373" s="92"/>
      <x:c r="C373" s="92"/>
      <x:c r="D373" s="96"/>
      <x:c r="E373" s="92"/>
      <x:c r="F373" s="92"/>
      <x:c r="G373" s="92"/>
      <x:c r="H373" s="92"/>
      <x:c r="I373" s="92"/>
      <x:c r="J373" s="92"/>
      <x:c r="K373" s="92"/>
      <x:c r="L373" s="92"/>
    </x:row>
    <x:row r="374">
      <x:c r="A374" s="94"/>
      <x:c r="B374" s="92"/>
      <x:c r="C374" s="92"/>
      <x:c r="D374" s="96"/>
      <x:c r="E374" s="92"/>
      <x:c r="F374" s="92"/>
      <x:c r="G374" s="92"/>
      <x:c r="H374" s="92"/>
      <x:c r="I374" s="92"/>
      <x:c r="J374" s="92"/>
      <x:c r="K374" s="92"/>
      <x:c r="L374" s="92"/>
    </x:row>
    <x:row r="375">
      <x:c r="A375" s="94"/>
      <x:c r="B375" s="92"/>
      <x:c r="C375" s="92"/>
      <x:c r="D375" s="96"/>
      <x:c r="E375" s="92"/>
      <x:c r="F375" s="92"/>
      <x:c r="G375" s="92"/>
      <x:c r="H375" s="92"/>
      <x:c r="I375" s="92"/>
      <x:c r="J375" s="92"/>
      <x:c r="K375" s="92"/>
      <x:c r="L375" s="92"/>
    </x:row>
    <x:row r="376">
      <x:c r="A376" s="94"/>
      <x:c r="B376" s="92"/>
      <x:c r="C376" s="92"/>
      <x:c r="D376" s="96"/>
      <x:c r="E376" s="92"/>
      <x:c r="F376" s="92"/>
      <x:c r="G376" s="92"/>
      <x:c r="H376" s="92"/>
      <x:c r="I376" s="92"/>
      <x:c r="J376" s="92"/>
      <x:c r="K376" s="92"/>
      <x:c r="L376" s="92"/>
    </x:row>
    <x:row r="377">
      <x:c r="A377" s="94"/>
      <x:c r="B377" s="92"/>
      <x:c r="C377" s="92"/>
      <x:c r="D377" s="96"/>
      <x:c r="E377" s="92"/>
      <x:c r="F377" s="92"/>
      <x:c r="G377" s="92"/>
      <x:c r="H377" s="92"/>
      <x:c r="I377" s="92"/>
      <x:c r="J377" s="92"/>
      <x:c r="K377" s="92"/>
      <x:c r="L377" s="92"/>
    </x:row>
    <x:row r="378">
      <x:c r="A378" s="94"/>
      <x:c r="B378" s="92"/>
      <x:c r="C378" s="92"/>
      <x:c r="D378" s="96"/>
      <x:c r="E378" s="92"/>
      <x:c r="F378" s="92"/>
      <x:c r="G378" s="92"/>
      <x:c r="H378" s="92"/>
      <x:c r="I378" s="92"/>
      <x:c r="J378" s="92"/>
      <x:c r="K378" s="92"/>
      <x:c r="L378" s="92"/>
    </x:row>
    <x:row r="379">
      <x:c r="A379" s="94"/>
      <x:c r="B379" s="92"/>
      <x:c r="C379" s="92"/>
      <x:c r="D379" s="96"/>
      <x:c r="E379" s="92"/>
      <x:c r="F379" s="92"/>
      <x:c r="G379" s="92"/>
      <x:c r="H379" s="92"/>
      <x:c r="I379" s="92"/>
      <x:c r="J379" s="92"/>
      <x:c r="K379" s="92"/>
      <x:c r="L379" s="92"/>
    </x:row>
    <x:row r="380">
      <x:c r="A380" s="94"/>
      <x:c r="B380" s="92"/>
      <x:c r="C380" s="92"/>
      <x:c r="D380" s="96"/>
      <x:c r="E380" s="92"/>
      <x:c r="F380" s="92"/>
      <x:c r="G380" s="92"/>
      <x:c r="H380" s="92"/>
      <x:c r="I380" s="92"/>
      <x:c r="J380" s="92"/>
      <x:c r="K380" s="92"/>
      <x:c r="L380" s="92"/>
    </x:row>
    <x:row r="381">
      <x:c r="A381" s="94"/>
      <x:c r="B381" s="92"/>
      <x:c r="C381" s="92"/>
      <x:c r="D381" s="96"/>
      <x:c r="E381" s="92"/>
      <x:c r="F381" s="92"/>
      <x:c r="G381" s="92"/>
      <x:c r="H381" s="92"/>
      <x:c r="I381" s="92"/>
      <x:c r="J381" s="92"/>
      <x:c r="K381" s="92"/>
      <x:c r="L381" s="92"/>
    </x:row>
    <x:row r="382">
      <x:c r="A382" s="94"/>
      <x:c r="B382" s="92"/>
      <x:c r="C382" s="92"/>
      <x:c r="D382" s="96"/>
      <x:c r="E382" s="92"/>
      <x:c r="F382" s="92"/>
      <x:c r="G382" s="92"/>
      <x:c r="H382" s="92"/>
      <x:c r="I382" s="92"/>
      <x:c r="J382" s="92"/>
      <x:c r="K382" s="92"/>
      <x:c r="L382" s="92"/>
    </x:row>
    <x:row r="383">
      <x:c r="A383" s="94"/>
      <x:c r="B383" s="92"/>
      <x:c r="C383" s="92"/>
      <x:c r="D383" s="96"/>
      <x:c r="E383" s="92"/>
      <x:c r="F383" s="92"/>
      <x:c r="G383" s="92"/>
      <x:c r="H383" s="92"/>
      <x:c r="I383" s="92"/>
      <x:c r="J383" s="92"/>
      <x:c r="K383" s="92"/>
      <x:c r="L383" s="92"/>
    </x:row>
    <x:row r="384">
      <x:c r="A384" s="94"/>
      <x:c r="B384" s="92"/>
      <x:c r="C384" s="92"/>
      <x:c r="D384" s="96"/>
      <x:c r="E384" s="92"/>
      <x:c r="F384" s="92"/>
      <x:c r="G384" s="92"/>
      <x:c r="H384" s="92"/>
      <x:c r="I384" s="92"/>
      <x:c r="J384" s="92"/>
      <x:c r="K384" s="92"/>
      <x:c r="L384" s="92"/>
    </x:row>
    <x:row r="385">
      <x:c r="A385" s="94"/>
      <x:c r="B385" s="92"/>
      <x:c r="C385" s="92"/>
      <x:c r="D385" s="96"/>
      <x:c r="E385" s="92"/>
      <x:c r="F385" s="92"/>
      <x:c r="G385" s="92"/>
      <x:c r="H385" s="92"/>
      <x:c r="I385" s="92"/>
      <x:c r="J385" s="92"/>
      <x:c r="K385" s="92"/>
      <x:c r="L385" s="92"/>
    </x:row>
    <x:row r="386">
      <x:c r="A386" s="94"/>
      <x:c r="B386" s="92"/>
      <x:c r="C386" s="92"/>
      <x:c r="D386" s="96"/>
      <x:c r="E386" s="92"/>
      <x:c r="F386" s="92"/>
      <x:c r="G386" s="92"/>
      <x:c r="H386" s="92"/>
      <x:c r="I386" s="92"/>
      <x:c r="J386" s="92"/>
      <x:c r="K386" s="92"/>
      <x:c r="L386" s="92"/>
    </x:row>
    <x:row r="387">
      <x:c r="A387" s="94"/>
      <x:c r="B387" s="92"/>
      <x:c r="C387" s="92"/>
      <x:c r="D387" s="96"/>
      <x:c r="E387" s="92"/>
      <x:c r="F387" s="92"/>
      <x:c r="G387" s="92"/>
      <x:c r="H387" s="92"/>
      <x:c r="I387" s="92"/>
      <x:c r="J387" s="92"/>
      <x:c r="K387" s="92"/>
      <x:c r="L387" s="92"/>
    </x:row>
    <x:row r="388">
      <x:c r="A388" s="94"/>
      <x:c r="B388" s="92"/>
      <x:c r="C388" s="92"/>
      <x:c r="D388" s="96"/>
      <x:c r="E388" s="92"/>
      <x:c r="F388" s="92"/>
      <x:c r="G388" s="92"/>
      <x:c r="H388" s="92"/>
      <x:c r="I388" s="92"/>
      <x:c r="J388" s="92"/>
      <x:c r="K388" s="92"/>
      <x:c r="L388" s="92"/>
    </x:row>
    <x:row r="389">
      <x:c r="A389" s="94"/>
      <x:c r="B389" s="92"/>
      <x:c r="C389" s="92"/>
      <x:c r="D389" s="96"/>
      <x:c r="E389" s="92"/>
      <x:c r="F389" s="92"/>
      <x:c r="G389" s="92"/>
      <x:c r="H389" s="92"/>
      <x:c r="I389" s="92"/>
      <x:c r="J389" s="92"/>
      <x:c r="K389" s="92"/>
      <x:c r="L389" s="92"/>
    </x:row>
    <x:row r="390">
      <x:c r="A390" s="94"/>
      <x:c r="B390" s="92"/>
      <x:c r="C390" s="92"/>
      <x:c r="D390" s="96"/>
      <x:c r="E390" s="92"/>
      <x:c r="F390" s="92"/>
      <x:c r="G390" s="92"/>
      <x:c r="H390" s="92"/>
      <x:c r="I390" s="92"/>
      <x:c r="J390" s="92"/>
      <x:c r="K390" s="92"/>
      <x:c r="L390" s="92"/>
    </x:row>
    <x:row r="391">
      <x:c r="A391" s="94"/>
      <x:c r="B391" s="92"/>
      <x:c r="C391" s="92"/>
      <x:c r="D391" s="96"/>
      <x:c r="E391" s="92"/>
      <x:c r="F391" s="92"/>
      <x:c r="G391" s="92"/>
      <x:c r="H391" s="92"/>
      <x:c r="I391" s="92"/>
      <x:c r="J391" s="92"/>
      <x:c r="K391" s="92"/>
      <x:c r="L391" s="92"/>
    </x:row>
    <x:row r="392">
      <x:c r="A392" s="94"/>
      <x:c r="B392" s="92"/>
      <x:c r="C392" s="92"/>
      <x:c r="D392" s="96"/>
      <x:c r="E392" s="92"/>
      <x:c r="F392" s="92"/>
      <x:c r="G392" s="92"/>
      <x:c r="H392" s="92"/>
      <x:c r="I392" s="92"/>
      <x:c r="J392" s="92"/>
      <x:c r="K392" s="92"/>
      <x:c r="L392" s="92"/>
    </x:row>
    <x:row r="393">
      <x:c r="A393" s="94"/>
      <x:c r="B393" s="92"/>
      <x:c r="C393" s="92"/>
      <x:c r="D393" s="96"/>
      <x:c r="E393" s="92"/>
      <x:c r="F393" s="92"/>
      <x:c r="G393" s="92"/>
      <x:c r="H393" s="92"/>
      <x:c r="I393" s="92"/>
      <x:c r="J393" s="92"/>
      <x:c r="K393" s="92"/>
      <x:c r="L393" s="92"/>
    </x:row>
    <x:row r="394">
      <x:c r="A394" s="94"/>
      <x:c r="B394" s="92"/>
      <x:c r="C394" s="92"/>
      <x:c r="D394" s="96"/>
      <x:c r="E394" s="92"/>
      <x:c r="F394" s="92"/>
      <x:c r="G394" s="92"/>
      <x:c r="H394" s="92"/>
      <x:c r="I394" s="92"/>
      <x:c r="J394" s="92"/>
      <x:c r="K394" s="92"/>
      <x:c r="L394" s="92"/>
    </x:row>
    <x:row r="395">
      <x:c r="A395" s="94"/>
      <x:c r="B395" s="92"/>
      <x:c r="C395" s="92"/>
      <x:c r="D395" s="96"/>
      <x:c r="E395" s="92"/>
      <x:c r="F395" s="92"/>
      <x:c r="G395" s="92"/>
      <x:c r="H395" s="92"/>
      <x:c r="I395" s="92"/>
      <x:c r="J395" s="92"/>
      <x:c r="K395" s="92"/>
      <x:c r="L395" s="92"/>
    </x:row>
    <x:row r="396">
      <x:c r="A396" s="94"/>
      <x:c r="B396" s="92"/>
      <x:c r="C396" s="92"/>
      <x:c r="D396" s="96"/>
      <x:c r="E396" s="92"/>
      <x:c r="F396" s="92"/>
      <x:c r="G396" s="92"/>
      <x:c r="H396" s="92"/>
      <x:c r="I396" s="92"/>
      <x:c r="J396" s="92"/>
      <x:c r="K396" s="92"/>
      <x:c r="L396" s="92"/>
    </x:row>
    <x:row r="397">
      <x:c r="A397" s="94"/>
      <x:c r="B397" s="92"/>
      <x:c r="C397" s="92"/>
      <x:c r="D397" s="96"/>
      <x:c r="E397" s="92"/>
      <x:c r="F397" s="92"/>
      <x:c r="G397" s="92"/>
      <x:c r="H397" s="92"/>
      <x:c r="I397" s="92"/>
      <x:c r="J397" s="92"/>
      <x:c r="K397" s="92"/>
      <x:c r="L397" s="92"/>
    </x:row>
    <x:row r="398">
      <x:c r="A398" s="94"/>
      <x:c r="B398" s="92"/>
      <x:c r="C398" s="92"/>
      <x:c r="D398" s="96"/>
      <x:c r="E398" s="92"/>
      <x:c r="F398" s="92"/>
      <x:c r="G398" s="92"/>
      <x:c r="H398" s="92"/>
      <x:c r="I398" s="92"/>
      <x:c r="J398" s="92"/>
      <x:c r="K398" s="92"/>
      <x:c r="L398" s="92"/>
    </x:row>
    <x:row r="399">
      <x:c r="A399" s="94"/>
      <x:c r="B399" s="92"/>
      <x:c r="C399" s="92"/>
      <x:c r="D399" s="96"/>
      <x:c r="E399" s="92"/>
      <x:c r="F399" s="92"/>
      <x:c r="G399" s="92"/>
      <x:c r="H399" s="92"/>
      <x:c r="I399" s="92"/>
      <x:c r="J399" s="92"/>
      <x:c r="K399" s="92"/>
      <x:c r="L399" s="92"/>
    </x:row>
    <x:row r="400">
      <x:c r="A400" s="94"/>
      <x:c r="B400" s="92"/>
      <x:c r="C400" s="92"/>
      <x:c r="D400" s="96"/>
      <x:c r="E400" s="92"/>
      <x:c r="F400" s="92"/>
      <x:c r="G400" s="92"/>
      <x:c r="H400" s="92"/>
      <x:c r="I400" s="92"/>
      <x:c r="J400" s="92"/>
      <x:c r="K400" s="92"/>
      <x:c r="L400" s="92"/>
    </x:row>
    <x:row r="401">
      <x:c r="A401" s="94"/>
      <x:c r="B401" s="92"/>
      <x:c r="C401" s="92"/>
      <x:c r="D401" s="96"/>
      <x:c r="E401" s="92"/>
      <x:c r="F401" s="92"/>
      <x:c r="G401" s="92"/>
      <x:c r="H401" s="92"/>
      <x:c r="I401" s="92"/>
      <x:c r="J401" s="92"/>
      <x:c r="K401" s="92"/>
      <x:c r="L401" s="92"/>
    </x:row>
    <x:row r="402">
      <x:c r="A402" s="94"/>
      <x:c r="B402" s="92"/>
      <x:c r="C402" s="92"/>
      <x:c r="D402" s="96"/>
      <x:c r="E402" s="92"/>
      <x:c r="F402" s="92"/>
      <x:c r="G402" s="92"/>
      <x:c r="H402" s="92"/>
      <x:c r="I402" s="92"/>
      <x:c r="J402" s="92"/>
      <x:c r="K402" s="92"/>
      <x:c r="L402" s="92"/>
    </x:row>
    <x:row r="403">
      <x:c r="A403" s="94"/>
      <x:c r="B403" s="92"/>
      <x:c r="C403" s="92"/>
      <x:c r="D403" s="96"/>
      <x:c r="E403" s="92"/>
      <x:c r="F403" s="92"/>
      <x:c r="G403" s="92"/>
      <x:c r="H403" s="92"/>
      <x:c r="I403" s="92"/>
      <x:c r="J403" s="92"/>
      <x:c r="K403" s="92"/>
      <x:c r="L403" s="92"/>
    </x:row>
    <x:row r="404">
      <x:c r="A404" s="94"/>
      <x:c r="B404" s="92"/>
      <x:c r="C404" s="92"/>
      <x:c r="D404" s="96"/>
      <x:c r="E404" s="92"/>
      <x:c r="F404" s="92"/>
      <x:c r="G404" s="92"/>
      <x:c r="H404" s="92"/>
      <x:c r="I404" s="92"/>
      <x:c r="J404" s="92"/>
      <x:c r="K404" s="92"/>
      <x:c r="L404" s="92"/>
    </x:row>
    <x:row r="405">
      <x:c r="A405" s="94"/>
      <x:c r="B405" s="92"/>
      <x:c r="C405" s="92"/>
      <x:c r="D405" s="96"/>
      <x:c r="E405" s="92"/>
      <x:c r="F405" s="92"/>
      <x:c r="G405" s="92"/>
      <x:c r="H405" s="92"/>
      <x:c r="I405" s="92"/>
      <x:c r="J405" s="92"/>
      <x:c r="K405" s="92"/>
      <x:c r="L405" s="92"/>
    </x:row>
    <x:row r="406">
      <x:c r="A406" s="94"/>
      <x:c r="B406" s="92"/>
      <x:c r="C406" s="92"/>
      <x:c r="D406" s="96"/>
      <x:c r="E406" s="92"/>
      <x:c r="F406" s="92"/>
      <x:c r="G406" s="92"/>
      <x:c r="H406" s="92"/>
      <x:c r="I406" s="92"/>
      <x:c r="J406" s="92"/>
      <x:c r="K406" s="92"/>
      <x:c r="L406" s="92"/>
    </x:row>
    <x:row r="407">
      <x:c r="A407" s="94"/>
      <x:c r="B407" s="92"/>
      <x:c r="C407" s="92"/>
      <x:c r="D407" s="96"/>
      <x:c r="E407" s="92"/>
      <x:c r="F407" s="92"/>
      <x:c r="G407" s="92"/>
      <x:c r="H407" s="92"/>
      <x:c r="I407" s="92"/>
      <x:c r="J407" s="92"/>
      <x:c r="K407" s="92"/>
      <x:c r="L407" s="92"/>
    </x:row>
    <x:row r="408">
      <x:c r="A408" s="94"/>
      <x:c r="B408" s="92"/>
      <x:c r="C408" s="92"/>
      <x:c r="D408" s="96"/>
      <x:c r="E408" s="92"/>
      <x:c r="F408" s="92"/>
      <x:c r="G408" s="92"/>
      <x:c r="H408" s="92"/>
      <x:c r="I408" s="92"/>
      <x:c r="J408" s="92"/>
      <x:c r="K408" s="92"/>
      <x:c r="L408" s="92"/>
    </x:row>
    <x:row r="409">
      <x:c r="A409" s="94"/>
      <x:c r="B409" s="92"/>
      <x:c r="C409" s="92"/>
      <x:c r="D409" s="96"/>
      <x:c r="E409" s="92"/>
      <x:c r="F409" s="92"/>
      <x:c r="G409" s="92"/>
      <x:c r="H409" s="92"/>
      <x:c r="I409" s="92"/>
      <x:c r="J409" s="92"/>
      <x:c r="K409" s="92"/>
      <x:c r="L409" s="92"/>
    </x:row>
    <x:row r="410">
      <x:c r="A410" s="94"/>
      <x:c r="B410" s="92"/>
      <x:c r="C410" s="92"/>
      <x:c r="D410" s="96"/>
      <x:c r="E410" s="92"/>
      <x:c r="F410" s="92"/>
      <x:c r="G410" s="92"/>
      <x:c r="H410" s="92"/>
      <x:c r="I410" s="92"/>
      <x:c r="J410" s="92"/>
      <x:c r="K410" s="92"/>
      <x:c r="L410" s="92"/>
    </x:row>
    <x:row r="411">
      <x:c r="A411" s="94"/>
      <x:c r="B411" s="92"/>
      <x:c r="C411" s="92"/>
      <x:c r="D411" s="96"/>
      <x:c r="E411" s="92"/>
      <x:c r="F411" s="92"/>
      <x:c r="G411" s="92"/>
      <x:c r="H411" s="92"/>
      <x:c r="I411" s="92"/>
      <x:c r="J411" s="92"/>
      <x:c r="K411" s="92"/>
      <x:c r="L411" s="92"/>
    </x:row>
    <x:row r="412">
      <x:c r="A412" s="94"/>
      <x:c r="B412" s="92"/>
      <x:c r="C412" s="92"/>
      <x:c r="D412" s="96"/>
      <x:c r="E412" s="92"/>
      <x:c r="F412" s="92"/>
      <x:c r="G412" s="92"/>
      <x:c r="H412" s="92"/>
      <x:c r="I412" s="92"/>
      <x:c r="J412" s="92"/>
      <x:c r="K412" s="92"/>
      <x:c r="L412" s="92"/>
    </x:row>
    <x:row r="413">
      <x:c r="A413" s="94"/>
      <x:c r="B413" s="92"/>
      <x:c r="C413" s="92"/>
      <x:c r="D413" s="96"/>
      <x:c r="E413" s="92"/>
      <x:c r="F413" s="92"/>
      <x:c r="G413" s="92"/>
      <x:c r="H413" s="92"/>
      <x:c r="I413" s="92"/>
      <x:c r="J413" s="92"/>
      <x:c r="K413" s="92"/>
      <x:c r="L413" s="92"/>
    </x:row>
    <x:row r="414">
      <x:c r="A414" s="94"/>
      <x:c r="B414" s="92"/>
      <x:c r="C414" s="92"/>
      <x:c r="D414" s="96"/>
      <x:c r="E414" s="92"/>
      <x:c r="F414" s="92"/>
      <x:c r="G414" s="92"/>
      <x:c r="H414" s="92"/>
      <x:c r="I414" s="92"/>
      <x:c r="J414" s="92"/>
      <x:c r="K414" s="92"/>
      <x:c r="L414" s="92"/>
    </x:row>
    <x:row r="415">
      <x:c r="A415" s="94"/>
      <x:c r="B415" s="92"/>
      <x:c r="C415" s="92"/>
      <x:c r="D415" s="96"/>
      <x:c r="E415" s="92"/>
      <x:c r="F415" s="92"/>
      <x:c r="G415" s="92"/>
      <x:c r="H415" s="92"/>
      <x:c r="I415" s="92"/>
      <x:c r="J415" s="92"/>
      <x:c r="K415" s="92"/>
      <x:c r="L415" s="92"/>
    </x:row>
    <x:row r="416">
      <x:c r="A416" s="94"/>
      <x:c r="B416" s="92"/>
      <x:c r="C416" s="92"/>
      <x:c r="D416" s="96"/>
      <x:c r="E416" s="92"/>
      <x:c r="F416" s="92"/>
      <x:c r="G416" s="92"/>
      <x:c r="H416" s="92"/>
      <x:c r="I416" s="92"/>
      <x:c r="J416" s="92"/>
      <x:c r="K416" s="92"/>
      <x:c r="L416" s="92"/>
    </x:row>
    <x:row r="417">
      <x:c r="A417" s="94"/>
      <x:c r="B417" s="92"/>
      <x:c r="C417" s="92"/>
      <x:c r="D417" s="96"/>
      <x:c r="E417" s="92"/>
      <x:c r="F417" s="92"/>
      <x:c r="G417" s="92"/>
      <x:c r="H417" s="92"/>
      <x:c r="I417" s="92"/>
      <x:c r="J417" s="92"/>
      <x:c r="K417" s="92"/>
      <x:c r="L417" s="92"/>
    </x:row>
    <x:row r="418">
      <x:c r="A418" s="94"/>
      <x:c r="B418" s="92"/>
      <x:c r="C418" s="92"/>
      <x:c r="D418" s="96"/>
      <x:c r="E418" s="92"/>
      <x:c r="F418" s="92"/>
      <x:c r="G418" s="92"/>
      <x:c r="H418" s="92"/>
      <x:c r="I418" s="92"/>
      <x:c r="J418" s="92"/>
      <x:c r="K418" s="92"/>
      <x:c r="L418" s="92"/>
    </x:row>
    <x:row r="419">
      <x:c r="A419" s="94"/>
      <x:c r="B419" s="92"/>
      <x:c r="C419" s="92"/>
      <x:c r="D419" s="96"/>
      <x:c r="E419" s="92"/>
      <x:c r="F419" s="92"/>
      <x:c r="G419" s="92"/>
      <x:c r="H419" s="92"/>
      <x:c r="I419" s="92"/>
      <x:c r="J419" s="92"/>
      <x:c r="K419" s="92"/>
      <x:c r="L419" s="92"/>
    </x:row>
    <x:row r="420">
      <x:c r="A420" s="94"/>
      <x:c r="B420" s="92"/>
      <x:c r="C420" s="92"/>
      <x:c r="D420" s="96"/>
      <x:c r="E420" s="92"/>
      <x:c r="F420" s="92"/>
      <x:c r="G420" s="92"/>
      <x:c r="H420" s="92"/>
      <x:c r="I420" s="92"/>
      <x:c r="J420" s="92"/>
      <x:c r="K420" s="92"/>
      <x:c r="L420" s="92"/>
    </x:row>
    <x:row r="421">
      <x:c r="A421" s="94"/>
      <x:c r="B421" s="92"/>
      <x:c r="C421" s="92"/>
      <x:c r="D421" s="96"/>
      <x:c r="E421" s="92"/>
      <x:c r="F421" s="92"/>
      <x:c r="G421" s="92"/>
      <x:c r="H421" s="92"/>
      <x:c r="I421" s="92"/>
      <x:c r="J421" s="92"/>
      <x:c r="K421" s="92"/>
      <x:c r="L421" s="92"/>
    </x:row>
    <x:row r="422">
      <x:c r="A422" s="94"/>
      <x:c r="B422" s="92"/>
      <x:c r="C422" s="92"/>
      <x:c r="D422" s="96"/>
      <x:c r="E422" s="92"/>
      <x:c r="F422" s="92"/>
      <x:c r="G422" s="92"/>
      <x:c r="H422" s="92"/>
      <x:c r="I422" s="92"/>
      <x:c r="J422" s="92"/>
      <x:c r="K422" s="92"/>
      <x:c r="L422" s="92"/>
    </x:row>
    <x:row r="423">
      <x:c r="A423" s="94"/>
      <x:c r="B423" s="92"/>
      <x:c r="C423" s="92"/>
      <x:c r="D423" s="96"/>
      <x:c r="E423" s="92"/>
      <x:c r="F423" s="92"/>
      <x:c r="G423" s="92"/>
      <x:c r="H423" s="92"/>
      <x:c r="I423" s="92"/>
      <x:c r="J423" s="92"/>
      <x:c r="K423" s="92"/>
      <x:c r="L423" s="92"/>
    </x:row>
    <x:row r="424">
      <x:c r="A424" s="94"/>
      <x:c r="B424" s="92"/>
      <x:c r="C424" s="92"/>
      <x:c r="D424" s="96"/>
      <x:c r="E424" s="92"/>
      <x:c r="F424" s="92"/>
      <x:c r="G424" s="92"/>
      <x:c r="H424" s="92"/>
      <x:c r="I424" s="92"/>
      <x:c r="J424" s="92"/>
      <x:c r="K424" s="92"/>
      <x:c r="L424" s="92"/>
    </x:row>
    <x:row r="425">
      <x:c r="A425" s="94"/>
      <x:c r="B425" s="92"/>
      <x:c r="C425" s="92"/>
      <x:c r="D425" s="96"/>
      <x:c r="E425" s="92"/>
      <x:c r="F425" s="92"/>
      <x:c r="G425" s="92"/>
      <x:c r="H425" s="92"/>
      <x:c r="I425" s="92"/>
      <x:c r="J425" s="92"/>
      <x:c r="K425" s="92"/>
      <x:c r="L425" s="92"/>
    </x:row>
    <x:row r="426">
      <x:c r="A426" s="94"/>
      <x:c r="B426" s="92"/>
      <x:c r="C426" s="92"/>
      <x:c r="D426" s="96"/>
      <x:c r="E426" s="92"/>
      <x:c r="F426" s="92"/>
      <x:c r="G426" s="92"/>
      <x:c r="H426" s="92"/>
      <x:c r="I426" s="92"/>
      <x:c r="J426" s="92"/>
      <x:c r="K426" s="92"/>
      <x:c r="L426" s="92"/>
    </x:row>
    <x:row r="427">
      <x:c r="A427" s="94"/>
      <x:c r="B427" s="92"/>
      <x:c r="C427" s="92"/>
      <x:c r="D427" s="96"/>
      <x:c r="E427" s="92"/>
      <x:c r="F427" s="92"/>
      <x:c r="G427" s="92"/>
      <x:c r="H427" s="92"/>
      <x:c r="I427" s="92"/>
      <x:c r="J427" s="92"/>
      <x:c r="K427" s="92"/>
      <x:c r="L427" s="92"/>
    </x:row>
    <x:row r="428">
      <x:c r="A428" s="94"/>
      <x:c r="B428" s="92"/>
      <x:c r="C428" s="92"/>
      <x:c r="D428" s="96"/>
      <x:c r="E428" s="92"/>
      <x:c r="F428" s="92"/>
      <x:c r="G428" s="92"/>
      <x:c r="H428" s="92"/>
      <x:c r="I428" s="92"/>
      <x:c r="J428" s="92"/>
      <x:c r="K428" s="92"/>
      <x:c r="L428" s="92"/>
    </x:row>
    <x:row r="429">
      <x:c r="A429" s="94"/>
      <x:c r="B429" s="92"/>
      <x:c r="C429" s="92"/>
      <x:c r="D429" s="96"/>
      <x:c r="E429" s="92"/>
      <x:c r="F429" s="92"/>
      <x:c r="G429" s="92"/>
      <x:c r="H429" s="92"/>
      <x:c r="I429" s="92"/>
      <x:c r="J429" s="92"/>
      <x:c r="K429" s="92"/>
      <x:c r="L429" s="92"/>
    </x:row>
    <x:row r="430">
      <x:c r="A430" s="94"/>
      <x:c r="B430" s="92"/>
      <x:c r="C430" s="92"/>
      <x:c r="D430" s="96"/>
      <x:c r="E430" s="92"/>
      <x:c r="F430" s="92"/>
      <x:c r="G430" s="92"/>
      <x:c r="H430" s="92"/>
      <x:c r="I430" s="92"/>
      <x:c r="J430" s="92"/>
      <x:c r="K430" s="92"/>
      <x:c r="L430" s="92"/>
    </x:row>
    <x:row r="431">
      <x:c r="A431" s="94"/>
      <x:c r="B431" s="92"/>
      <x:c r="C431" s="92"/>
      <x:c r="D431" s="96"/>
      <x:c r="E431" s="92"/>
      <x:c r="F431" s="92"/>
      <x:c r="G431" s="92"/>
      <x:c r="H431" s="92"/>
      <x:c r="I431" s="92"/>
      <x:c r="J431" s="92"/>
      <x:c r="K431" s="92"/>
      <x:c r="L431" s="92"/>
    </x:row>
    <x:row r="432">
      <x:c r="A432" s="94"/>
      <x:c r="B432" s="92"/>
      <x:c r="C432" s="92"/>
      <x:c r="D432" s="96"/>
      <x:c r="E432" s="92"/>
      <x:c r="F432" s="92"/>
      <x:c r="G432" s="92"/>
      <x:c r="H432" s="92"/>
      <x:c r="I432" s="92"/>
      <x:c r="J432" s="92"/>
      <x:c r="K432" s="92"/>
      <x:c r="L432" s="92"/>
    </x:row>
    <x:row r="433">
      <x:c r="A433" s="94"/>
      <x:c r="B433" s="92"/>
      <x:c r="C433" s="92"/>
      <x:c r="D433" s="96"/>
      <x:c r="E433" s="92"/>
      <x:c r="F433" s="92"/>
      <x:c r="G433" s="92"/>
      <x:c r="H433" s="92"/>
      <x:c r="I433" s="92"/>
      <x:c r="J433" s="92"/>
      <x:c r="K433" s="92"/>
      <x:c r="L433" s="92"/>
    </x:row>
    <x:row r="434">
      <x:c r="A434" s="94"/>
      <x:c r="B434" s="92"/>
      <x:c r="C434" s="92"/>
      <x:c r="D434" s="96"/>
      <x:c r="E434" s="92"/>
      <x:c r="F434" s="92"/>
      <x:c r="G434" s="92"/>
      <x:c r="H434" s="92"/>
      <x:c r="I434" s="92"/>
      <x:c r="J434" s="92"/>
      <x:c r="K434" s="92"/>
      <x:c r="L434" s="92"/>
    </x:row>
    <x:row r="435">
      <x:c r="A435" s="94"/>
      <x:c r="B435" s="92"/>
      <x:c r="C435" s="92"/>
      <x:c r="D435" s="96"/>
      <x:c r="E435" s="92"/>
      <x:c r="F435" s="92"/>
      <x:c r="G435" s="92"/>
      <x:c r="H435" s="92"/>
      <x:c r="I435" s="92"/>
      <x:c r="J435" s="92"/>
      <x:c r="K435" s="92"/>
      <x:c r="L435" s="92"/>
    </x:row>
    <x:row r="436">
      <x:c r="A436" s="94"/>
      <x:c r="B436" s="92"/>
      <x:c r="C436" s="92"/>
      <x:c r="D436" s="96"/>
      <x:c r="E436" s="92"/>
      <x:c r="F436" s="92"/>
      <x:c r="G436" s="92"/>
      <x:c r="H436" s="92"/>
      <x:c r="I436" s="92"/>
      <x:c r="J436" s="92"/>
      <x:c r="K436" s="92"/>
      <x:c r="L436" s="92"/>
    </x:row>
    <x:row r="437">
      <x:c r="A437" s="94"/>
      <x:c r="B437" s="92"/>
      <x:c r="C437" s="92"/>
      <x:c r="D437" s="96"/>
      <x:c r="E437" s="92"/>
      <x:c r="F437" s="92"/>
      <x:c r="G437" s="92"/>
      <x:c r="H437" s="92"/>
      <x:c r="I437" s="92"/>
      <x:c r="J437" s="92"/>
      <x:c r="K437" s="92"/>
      <x:c r="L437" s="92"/>
    </x:row>
    <x:row r="438">
      <x:c r="A438" s="94"/>
      <x:c r="B438" s="92"/>
      <x:c r="C438" s="92"/>
      <x:c r="D438" s="96"/>
      <x:c r="E438" s="92"/>
      <x:c r="F438" s="92"/>
      <x:c r="G438" s="92"/>
      <x:c r="H438" s="92"/>
      <x:c r="I438" s="92"/>
      <x:c r="J438" s="92"/>
      <x:c r="K438" s="92"/>
      <x:c r="L438" s="92"/>
    </x:row>
    <x:row r="439">
      <x:c r="A439" s="94"/>
      <x:c r="B439" s="92"/>
      <x:c r="C439" s="92"/>
      <x:c r="D439" s="96"/>
      <x:c r="E439" s="92"/>
      <x:c r="F439" s="92"/>
      <x:c r="G439" s="92"/>
      <x:c r="H439" s="92"/>
      <x:c r="I439" s="92"/>
      <x:c r="J439" s="92"/>
      <x:c r="K439" s="92"/>
      <x:c r="L439" s="92"/>
    </x:row>
    <x:row r="440">
      <x:c r="A440" s="94"/>
      <x:c r="B440" s="92"/>
      <x:c r="C440" s="92"/>
      <x:c r="D440" s="96"/>
      <x:c r="E440" s="92"/>
      <x:c r="F440" s="92"/>
      <x:c r="G440" s="92"/>
      <x:c r="H440" s="92"/>
      <x:c r="I440" s="92"/>
      <x:c r="J440" s="92"/>
      <x:c r="K440" s="92"/>
      <x:c r="L440" s="92"/>
    </x:row>
    <x:row r="441">
      <x:c r="A441" s="94"/>
      <x:c r="B441" s="92"/>
      <x:c r="C441" s="92"/>
      <x:c r="D441" s="96"/>
      <x:c r="E441" s="92"/>
      <x:c r="F441" s="92"/>
      <x:c r="G441" s="92"/>
      <x:c r="H441" s="92"/>
      <x:c r="I441" s="92"/>
      <x:c r="J441" s="92"/>
      <x:c r="K441" s="92"/>
      <x:c r="L441" s="92"/>
    </x:row>
    <x:row r="442">
      <x:c r="A442" s="94"/>
      <x:c r="B442" s="92"/>
      <x:c r="C442" s="92"/>
      <x:c r="D442" s="96"/>
      <x:c r="E442" s="92"/>
      <x:c r="F442" s="92"/>
      <x:c r="G442" s="92"/>
      <x:c r="H442" s="92"/>
      <x:c r="I442" s="92"/>
      <x:c r="J442" s="92"/>
      <x:c r="K442" s="92"/>
      <x:c r="L442" s="92"/>
    </x:row>
    <x:row r="443">
      <x:c r="A443" s="94"/>
      <x:c r="B443" s="92"/>
      <x:c r="C443" s="92"/>
      <x:c r="D443" s="96"/>
      <x:c r="E443" s="92"/>
      <x:c r="F443" s="92"/>
      <x:c r="G443" s="92"/>
      <x:c r="H443" s="92"/>
      <x:c r="I443" s="92"/>
      <x:c r="J443" s="92"/>
      <x:c r="K443" s="92"/>
      <x:c r="L443" s="92"/>
    </x:row>
    <x:row r="444">
      <x:c r="A444" s="94"/>
      <x:c r="B444" s="92"/>
      <x:c r="C444" s="92"/>
      <x:c r="D444" s="96"/>
      <x:c r="E444" s="92"/>
      <x:c r="F444" s="92"/>
      <x:c r="G444" s="92"/>
      <x:c r="H444" s="92"/>
      <x:c r="I444" s="92"/>
      <x:c r="J444" s="92"/>
      <x:c r="K444" s="92"/>
      <x:c r="L444" s="92"/>
    </x:row>
    <x:row r="445">
      <x:c r="A445" s="94"/>
      <x:c r="B445" s="92"/>
      <x:c r="C445" s="92"/>
      <x:c r="D445" s="96"/>
      <x:c r="E445" s="92"/>
      <x:c r="F445" s="92"/>
      <x:c r="G445" s="92"/>
      <x:c r="H445" s="92"/>
      <x:c r="I445" s="92"/>
      <x:c r="J445" s="92"/>
      <x:c r="K445" s="92"/>
      <x:c r="L445" s="92"/>
    </x:row>
    <x:row r="446">
      <x:c r="A446" s="94"/>
      <x:c r="B446" s="92"/>
      <x:c r="C446" s="92"/>
      <x:c r="D446" s="96"/>
      <x:c r="E446" s="92"/>
      <x:c r="F446" s="92"/>
      <x:c r="G446" s="92"/>
      <x:c r="H446" s="92"/>
      <x:c r="I446" s="92"/>
      <x:c r="J446" s="92"/>
      <x:c r="K446" s="92"/>
      <x:c r="L446" s="92"/>
    </x:row>
    <x:row r="447">
      <x:c r="A447" s="94"/>
      <x:c r="B447" s="92"/>
      <x:c r="C447" s="92"/>
      <x:c r="D447" s="96"/>
      <x:c r="E447" s="92"/>
      <x:c r="F447" s="92"/>
      <x:c r="G447" s="92"/>
      <x:c r="H447" s="92"/>
      <x:c r="I447" s="92"/>
      <x:c r="J447" s="92"/>
      <x:c r="K447" s="92"/>
      <x:c r="L447" s="92"/>
    </x:row>
    <x:row r="448">
      <x:c r="A448" s="94"/>
      <x:c r="B448" s="92"/>
      <x:c r="C448" s="92"/>
      <x:c r="D448" s="96"/>
      <x:c r="E448" s="92"/>
      <x:c r="F448" s="92"/>
      <x:c r="G448" s="92"/>
      <x:c r="H448" s="92"/>
      <x:c r="I448" s="92"/>
      <x:c r="J448" s="92"/>
      <x:c r="K448" s="92"/>
      <x:c r="L448" s="92"/>
    </x:row>
    <x:row r="449">
      <x:c r="A449" s="94"/>
      <x:c r="B449" s="92"/>
      <x:c r="C449" s="92"/>
      <x:c r="D449" s="96"/>
      <x:c r="E449" s="92"/>
      <x:c r="F449" s="92"/>
      <x:c r="G449" s="92"/>
      <x:c r="H449" s="92"/>
      <x:c r="I449" s="92"/>
      <x:c r="J449" s="92"/>
      <x:c r="K449" s="92"/>
      <x:c r="L449" s="92"/>
    </x:row>
    <x:row r="450">
      <x:c r="A450" s="94"/>
      <x:c r="B450" s="92"/>
      <x:c r="C450" s="92"/>
      <x:c r="D450" s="96"/>
      <x:c r="E450" s="92"/>
      <x:c r="F450" s="92"/>
      <x:c r="G450" s="92"/>
      <x:c r="H450" s="92"/>
      <x:c r="I450" s="92"/>
      <x:c r="J450" s="92"/>
      <x:c r="K450" s="92"/>
      <x:c r="L450" s="92"/>
    </x:row>
    <x:row r="451">
      <x:c r="A451" s="94"/>
      <x:c r="B451" s="92"/>
      <x:c r="C451" s="92"/>
      <x:c r="D451" s="96"/>
      <x:c r="E451" s="92"/>
      <x:c r="F451" s="92"/>
      <x:c r="G451" s="92"/>
      <x:c r="H451" s="92"/>
      <x:c r="I451" s="92"/>
      <x:c r="J451" s="92"/>
      <x:c r="K451" s="92"/>
      <x:c r="L451" s="92"/>
    </x:row>
    <x:row r="452">
      <x:c r="A452" s="94"/>
      <x:c r="B452" s="92"/>
      <x:c r="C452" s="92"/>
      <x:c r="D452" s="96"/>
      <x:c r="E452" s="92"/>
      <x:c r="F452" s="92"/>
      <x:c r="G452" s="92"/>
      <x:c r="H452" s="92"/>
      <x:c r="I452" s="92"/>
      <x:c r="J452" s="92"/>
      <x:c r="K452" s="92"/>
      <x:c r="L452" s="92"/>
    </x:row>
    <x:row r="453">
      <x:c r="A453" s="94"/>
      <x:c r="B453" s="92"/>
      <x:c r="C453" s="92"/>
      <x:c r="D453" s="96"/>
      <x:c r="E453" s="92"/>
      <x:c r="F453" s="92"/>
      <x:c r="G453" s="92"/>
      <x:c r="H453" s="92"/>
      <x:c r="I453" s="92"/>
      <x:c r="J453" s="92"/>
      <x:c r="K453" s="92"/>
      <x:c r="L453" s="92"/>
    </x:row>
    <x:row r="454">
      <x:c r="A454" s="94"/>
      <x:c r="B454" s="92"/>
      <x:c r="C454" s="92"/>
      <x:c r="D454" s="96"/>
      <x:c r="E454" s="92"/>
      <x:c r="F454" s="92"/>
      <x:c r="G454" s="92"/>
      <x:c r="H454" s="92"/>
      <x:c r="I454" s="92"/>
      <x:c r="J454" s="92"/>
      <x:c r="K454" s="92"/>
      <x:c r="L454" s="92"/>
    </x:row>
    <x:row r="455">
      <x:c r="A455" s="94"/>
      <x:c r="B455" s="92"/>
      <x:c r="C455" s="92"/>
      <x:c r="D455" s="96"/>
      <x:c r="E455" s="92"/>
      <x:c r="F455" s="92"/>
      <x:c r="G455" s="92"/>
      <x:c r="H455" s="92"/>
      <x:c r="I455" s="92"/>
      <x:c r="J455" s="92"/>
      <x:c r="K455" s="92"/>
      <x:c r="L455" s="92"/>
    </x:row>
    <x:row r="456">
      <x:c r="A456" s="94"/>
      <x:c r="B456" s="92"/>
      <x:c r="C456" s="92"/>
      <x:c r="D456" s="96"/>
      <x:c r="E456" s="92"/>
      <x:c r="F456" s="92"/>
      <x:c r="G456" s="92"/>
      <x:c r="H456" s="92"/>
      <x:c r="I456" s="92"/>
      <x:c r="J456" s="92"/>
      <x:c r="K456" s="92"/>
      <x:c r="L456" s="92"/>
    </x:row>
    <x:row r="457">
      <x:c r="A457" s="94"/>
      <x:c r="B457" s="92"/>
      <x:c r="C457" s="92"/>
      <x:c r="D457" s="96"/>
      <x:c r="E457" s="92"/>
      <x:c r="F457" s="92"/>
      <x:c r="G457" s="92"/>
      <x:c r="H457" s="92"/>
      <x:c r="I457" s="92"/>
      <x:c r="J457" s="92"/>
      <x:c r="K457" s="92"/>
      <x:c r="L457" s="92"/>
    </x:row>
    <x:row r="458">
      <x:c r="A458" s="94"/>
      <x:c r="B458" s="92"/>
      <x:c r="C458" s="92"/>
      <x:c r="D458" s="96"/>
      <x:c r="E458" s="92"/>
      <x:c r="F458" s="92"/>
      <x:c r="G458" s="92"/>
      <x:c r="H458" s="92"/>
      <x:c r="I458" s="92"/>
      <x:c r="J458" s="92"/>
      <x:c r="K458" s="92"/>
      <x:c r="L458" s="92"/>
    </x:row>
    <x:row r="459">
      <x:c r="A459" s="94"/>
      <x:c r="B459" s="92"/>
      <x:c r="C459" s="92"/>
      <x:c r="D459" s="96"/>
      <x:c r="E459" s="92"/>
      <x:c r="F459" s="92"/>
      <x:c r="G459" s="92"/>
      <x:c r="H459" s="92"/>
      <x:c r="I459" s="92"/>
      <x:c r="J459" s="92"/>
      <x:c r="K459" s="92"/>
      <x:c r="L459" s="92"/>
    </x:row>
    <x:row r="460">
      <x:c r="A460" s="94"/>
      <x:c r="B460" s="92"/>
      <x:c r="C460" s="92"/>
      <x:c r="D460" s="96"/>
      <x:c r="E460" s="92"/>
      <x:c r="F460" s="92"/>
      <x:c r="G460" s="92"/>
      <x:c r="H460" s="92"/>
      <x:c r="I460" s="92"/>
      <x:c r="J460" s="92"/>
      <x:c r="K460" s="92"/>
      <x:c r="L460" s="92"/>
    </x:row>
    <x:row r="461">
      <x:c r="A461" s="94"/>
      <x:c r="B461" s="92"/>
      <x:c r="C461" s="92"/>
      <x:c r="D461" s="96"/>
      <x:c r="E461" s="92"/>
      <x:c r="F461" s="92"/>
      <x:c r="G461" s="92"/>
      <x:c r="H461" s="92"/>
      <x:c r="I461" s="92"/>
      <x:c r="J461" s="92"/>
      <x:c r="K461" s="92"/>
      <x:c r="L461" s="92"/>
    </x:row>
    <x:row r="462">
      <x:c r="A462" s="94"/>
      <x:c r="B462" s="92"/>
      <x:c r="C462" s="92"/>
      <x:c r="D462" s="96"/>
      <x:c r="E462" s="92"/>
      <x:c r="F462" s="92"/>
      <x:c r="G462" s="92"/>
      <x:c r="H462" s="92"/>
      <x:c r="I462" s="92"/>
      <x:c r="J462" s="92"/>
      <x:c r="K462" s="92"/>
      <x:c r="L462" s="92"/>
    </x:row>
    <x:row r="463">
      <x:c r="A463" s="94"/>
      <x:c r="B463" s="92"/>
      <x:c r="C463" s="92"/>
      <x:c r="D463" s="96"/>
      <x:c r="E463" s="92"/>
      <x:c r="F463" s="92"/>
      <x:c r="G463" s="92"/>
      <x:c r="H463" s="92"/>
      <x:c r="I463" s="92"/>
      <x:c r="J463" s="92"/>
      <x:c r="K463" s="92"/>
      <x:c r="L463" s="92"/>
    </x:row>
    <x:row r="464">
      <x:c r="A464" s="94"/>
      <x:c r="B464" s="92"/>
      <x:c r="C464" s="92"/>
      <x:c r="D464" s="96"/>
      <x:c r="E464" s="92"/>
      <x:c r="F464" s="92"/>
      <x:c r="G464" s="92"/>
      <x:c r="H464" s="92"/>
      <x:c r="I464" s="92"/>
      <x:c r="J464" s="92"/>
      <x:c r="K464" s="92"/>
      <x:c r="L464" s="92"/>
    </x:row>
    <x:row r="465">
      <x:c r="A465" s="94"/>
      <x:c r="B465" s="92"/>
      <x:c r="C465" s="92"/>
      <x:c r="D465" s="96"/>
      <x:c r="E465" s="92"/>
      <x:c r="F465" s="92"/>
      <x:c r="G465" s="92"/>
      <x:c r="H465" s="92"/>
      <x:c r="I465" s="92"/>
      <x:c r="J465" s="92"/>
      <x:c r="K465" s="92"/>
      <x:c r="L465" s="92"/>
    </x:row>
    <x:row r="466">
      <x:c r="A466" s="94"/>
      <x:c r="B466" s="92"/>
      <x:c r="C466" s="92"/>
      <x:c r="D466" s="96"/>
      <x:c r="E466" s="92"/>
      <x:c r="F466" s="92"/>
      <x:c r="G466" s="92"/>
      <x:c r="H466" s="92"/>
      <x:c r="I466" s="92"/>
      <x:c r="J466" s="92"/>
      <x:c r="K466" s="92"/>
      <x:c r="L466" s="92"/>
    </x:row>
    <x:row r="467">
      <x:c r="A467" s="94"/>
      <x:c r="B467" s="92"/>
      <x:c r="C467" s="92"/>
      <x:c r="D467" s="96"/>
      <x:c r="E467" s="92"/>
      <x:c r="F467" s="92"/>
      <x:c r="G467" s="92"/>
      <x:c r="H467" s="92"/>
      <x:c r="I467" s="92"/>
      <x:c r="J467" s="92"/>
      <x:c r="K467" s="92"/>
      <x:c r="L467" s="92"/>
    </x:row>
    <x:row r="468">
      <x:c r="A468" s="94"/>
      <x:c r="B468" s="92"/>
      <x:c r="C468" s="92"/>
      <x:c r="D468" s="96"/>
      <x:c r="E468" s="92"/>
      <x:c r="F468" s="92"/>
      <x:c r="G468" s="92"/>
      <x:c r="H468" s="92"/>
      <x:c r="I468" s="92"/>
      <x:c r="J468" s="92"/>
      <x:c r="K468" s="92"/>
      <x:c r="L468" s="92"/>
    </x:row>
    <x:row r="469">
      <x:c r="A469" s="94"/>
      <x:c r="B469" s="92"/>
      <x:c r="C469" s="92"/>
      <x:c r="D469" s="96"/>
      <x:c r="E469" s="92"/>
      <x:c r="F469" s="92"/>
      <x:c r="G469" s="92"/>
      <x:c r="H469" s="92"/>
      <x:c r="I469" s="92"/>
      <x:c r="J469" s="92"/>
      <x:c r="K469" s="92"/>
      <x:c r="L469" s="92"/>
    </x:row>
    <x:row r="470">
      <x:c r="A470" s="94"/>
      <x:c r="B470" s="92"/>
      <x:c r="C470" s="92"/>
      <x:c r="D470" s="96"/>
      <x:c r="E470" s="92"/>
      <x:c r="F470" s="92"/>
      <x:c r="G470" s="92"/>
      <x:c r="H470" s="92"/>
      <x:c r="I470" s="92"/>
      <x:c r="J470" s="92"/>
      <x:c r="K470" s="92"/>
      <x:c r="L470" s="92"/>
    </x:row>
    <x:row r="471">
      <x:c r="A471" s="94"/>
      <x:c r="B471" s="92"/>
      <x:c r="C471" s="92"/>
      <x:c r="D471" s="96"/>
      <x:c r="E471" s="92"/>
      <x:c r="F471" s="92"/>
      <x:c r="G471" s="92"/>
      <x:c r="H471" s="92"/>
      <x:c r="I471" s="92"/>
      <x:c r="J471" s="92"/>
      <x:c r="K471" s="92"/>
      <x:c r="L471" s="92"/>
    </x:row>
    <x:row r="472">
      <x:c r="A472" s="94"/>
      <x:c r="B472" s="92"/>
      <x:c r="C472" s="92"/>
      <x:c r="D472" s="96"/>
      <x:c r="E472" s="92"/>
      <x:c r="F472" s="92"/>
      <x:c r="G472" s="92"/>
      <x:c r="H472" s="92"/>
      <x:c r="I472" s="92"/>
      <x:c r="J472" s="92"/>
      <x:c r="K472" s="92"/>
      <x:c r="L472" s="92"/>
    </x:row>
    <x:row r="473">
      <x:c r="A473" s="94"/>
      <x:c r="B473" s="92"/>
      <x:c r="C473" s="92"/>
      <x:c r="D473" s="96"/>
      <x:c r="E473" s="92"/>
      <x:c r="F473" s="92"/>
      <x:c r="G473" s="92"/>
      <x:c r="H473" s="92"/>
      <x:c r="I473" s="92"/>
      <x:c r="J473" s="92"/>
      <x:c r="K473" s="92"/>
      <x:c r="L473" s="92"/>
    </x:row>
    <x:row r="474">
      <x:c r="A474" s="94"/>
      <x:c r="B474" s="92"/>
      <x:c r="C474" s="92"/>
      <x:c r="D474" s="96"/>
      <x:c r="E474" s="92"/>
      <x:c r="F474" s="92"/>
      <x:c r="G474" s="92"/>
      <x:c r="H474" s="92"/>
      <x:c r="I474" s="92"/>
      <x:c r="J474" s="92"/>
      <x:c r="K474" s="92"/>
      <x:c r="L474" s="92"/>
    </x:row>
    <x:row r="475">
      <x:c r="A475" s="94"/>
      <x:c r="B475" s="92"/>
      <x:c r="C475" s="92"/>
      <x:c r="D475" s="96"/>
      <x:c r="E475" s="92"/>
      <x:c r="F475" s="92"/>
      <x:c r="G475" s="92"/>
      <x:c r="H475" s="92"/>
      <x:c r="I475" s="92"/>
      <x:c r="J475" s="92"/>
      <x:c r="K475" s="92"/>
      <x:c r="L475" s="92"/>
    </x:row>
    <x:row r="476">
      <x:c r="A476" s="94"/>
      <x:c r="B476" s="92"/>
      <x:c r="C476" s="92"/>
      <x:c r="D476" s="96"/>
      <x:c r="E476" s="92"/>
      <x:c r="F476" s="92"/>
      <x:c r="G476" s="92"/>
      <x:c r="H476" s="92"/>
      <x:c r="I476" s="92"/>
      <x:c r="J476" s="92"/>
      <x:c r="K476" s="92"/>
      <x:c r="L476" s="92"/>
    </x:row>
    <x:row r="477">
      <x:c r="A477" s="94"/>
      <x:c r="B477" s="92"/>
      <x:c r="C477" s="92"/>
      <x:c r="D477" s="96"/>
      <x:c r="E477" s="92"/>
      <x:c r="F477" s="92"/>
      <x:c r="G477" s="92"/>
      <x:c r="H477" s="92"/>
      <x:c r="I477" s="92"/>
      <x:c r="J477" s="92"/>
      <x:c r="K477" s="92"/>
      <x:c r="L477" s="92"/>
    </x:row>
    <x:row r="478">
      <x:c r="A478" s="94"/>
      <x:c r="B478" s="92"/>
      <x:c r="C478" s="92"/>
      <x:c r="D478" s="96"/>
      <x:c r="E478" s="92"/>
      <x:c r="F478" s="92"/>
      <x:c r="G478" s="92"/>
      <x:c r="H478" s="92"/>
      <x:c r="I478" s="92"/>
      <x:c r="J478" s="92"/>
      <x:c r="K478" s="92"/>
      <x:c r="L478" s="92"/>
    </x:row>
    <x:row r="479">
      <x:c r="A479" s="94"/>
      <x:c r="B479" s="92"/>
      <x:c r="C479" s="92"/>
      <x:c r="D479" s="96"/>
      <x:c r="E479" s="92"/>
      <x:c r="F479" s="92"/>
      <x:c r="G479" s="92"/>
      <x:c r="H479" s="92"/>
      <x:c r="I479" s="92"/>
      <x:c r="J479" s="92"/>
      <x:c r="K479" s="92"/>
      <x:c r="L479" s="92"/>
    </x:row>
    <x:row r="480">
      <x:c r="A480" s="94"/>
      <x:c r="B480" s="92"/>
      <x:c r="C480" s="92"/>
      <x:c r="D480" s="96"/>
      <x:c r="E480" s="92"/>
      <x:c r="F480" s="92"/>
      <x:c r="G480" s="92"/>
      <x:c r="H480" s="92"/>
      <x:c r="I480" s="92"/>
      <x:c r="J480" s="92"/>
      <x:c r="K480" s="92"/>
      <x:c r="L480" s="92"/>
    </x:row>
    <x:row r="481">
      <x:c r="A481" s="94"/>
      <x:c r="B481" s="92"/>
      <x:c r="C481" s="92"/>
      <x:c r="D481" s="96"/>
      <x:c r="E481" s="92"/>
      <x:c r="F481" s="92"/>
      <x:c r="G481" s="92"/>
      <x:c r="H481" s="92"/>
      <x:c r="I481" s="92"/>
      <x:c r="J481" s="92"/>
      <x:c r="K481" s="92"/>
      <x:c r="L481" s="92"/>
    </x:row>
    <x:row r="482">
      <x:c r="A482" s="94"/>
      <x:c r="B482" s="92"/>
      <x:c r="C482" s="92"/>
      <x:c r="D482" s="96"/>
      <x:c r="E482" s="92"/>
      <x:c r="F482" s="92"/>
      <x:c r="G482" s="92"/>
      <x:c r="H482" s="92"/>
      <x:c r="I482" s="92"/>
      <x:c r="J482" s="92"/>
      <x:c r="K482" s="92"/>
      <x:c r="L482" s="92"/>
    </x:row>
    <x:row r="483">
      <x:c r="A483" s="94"/>
      <x:c r="B483" s="92"/>
      <x:c r="C483" s="92"/>
      <x:c r="D483" s="96"/>
      <x:c r="E483" s="92"/>
      <x:c r="F483" s="92"/>
      <x:c r="G483" s="92"/>
      <x:c r="H483" s="92"/>
      <x:c r="I483" s="92"/>
      <x:c r="J483" s="92"/>
      <x:c r="K483" s="92"/>
      <x:c r="L483" s="92"/>
    </x:row>
    <x:row r="484">
      <x:c r="A484" s="94"/>
      <x:c r="B484" s="92"/>
      <x:c r="C484" s="92"/>
      <x:c r="D484" s="96"/>
      <x:c r="E484" s="92"/>
      <x:c r="F484" s="92"/>
      <x:c r="G484" s="92"/>
      <x:c r="H484" s="92"/>
      <x:c r="I484" s="92"/>
      <x:c r="J484" s="92"/>
      <x:c r="K484" s="92"/>
      <x:c r="L484" s="92"/>
    </x:row>
    <x:row r="485">
      <x:c r="A485" s="94"/>
      <x:c r="B485" s="92"/>
      <x:c r="C485" s="92"/>
      <x:c r="D485" s="96"/>
      <x:c r="E485" s="92"/>
      <x:c r="F485" s="92"/>
      <x:c r="G485" s="92"/>
      <x:c r="H485" s="92"/>
      <x:c r="I485" s="92"/>
      <x:c r="J485" s="92"/>
      <x:c r="K485" s="92"/>
      <x:c r="L485" s="92"/>
    </x:row>
    <x:row r="486">
      <x:c r="A486" s="94"/>
      <x:c r="B486" s="92"/>
      <x:c r="C486" s="92"/>
      <x:c r="D486" s="96"/>
      <x:c r="E486" s="92"/>
      <x:c r="F486" s="92"/>
      <x:c r="G486" s="92"/>
      <x:c r="H486" s="92"/>
      <x:c r="I486" s="92"/>
      <x:c r="J486" s="92"/>
      <x:c r="K486" s="92"/>
      <x:c r="L486" s="92"/>
    </x:row>
    <x:row r="487">
      <x:c r="A487" s="94"/>
      <x:c r="B487" s="92"/>
      <x:c r="C487" s="92"/>
      <x:c r="D487" s="96"/>
      <x:c r="E487" s="92"/>
      <x:c r="F487" s="92"/>
      <x:c r="G487" s="92"/>
      <x:c r="H487" s="92"/>
      <x:c r="I487" s="92"/>
      <x:c r="J487" s="92"/>
      <x:c r="K487" s="92"/>
      <x:c r="L487" s="92"/>
    </x:row>
    <x:row r="488">
      <x:c r="A488" s="94"/>
      <x:c r="B488" s="92"/>
      <x:c r="C488" s="92"/>
      <x:c r="D488" s="96"/>
      <x:c r="E488" s="92"/>
      <x:c r="F488" s="92"/>
      <x:c r="G488" s="92"/>
      <x:c r="H488" s="92"/>
      <x:c r="I488" s="92"/>
      <x:c r="J488" s="92"/>
      <x:c r="K488" s="92"/>
      <x:c r="L488" s="92"/>
    </x:row>
    <x:row r="489">
      <x:c r="A489" s="94"/>
      <x:c r="B489" s="92"/>
      <x:c r="C489" s="92"/>
      <x:c r="D489" s="96"/>
      <x:c r="E489" s="92"/>
      <x:c r="F489" s="92"/>
      <x:c r="G489" s="92"/>
      <x:c r="H489" s="92"/>
      <x:c r="I489" s="92"/>
      <x:c r="J489" s="92"/>
      <x:c r="K489" s="92"/>
      <x:c r="L489" s="92"/>
    </x:row>
    <x:row r="490">
      <x:c r="A490" s="94"/>
      <x:c r="B490" s="92"/>
      <x:c r="C490" s="92"/>
      <x:c r="D490" s="96"/>
      <x:c r="E490" s="92"/>
      <x:c r="F490" s="92"/>
      <x:c r="G490" s="92"/>
      <x:c r="H490" s="92"/>
      <x:c r="I490" s="92"/>
      <x:c r="J490" s="92"/>
      <x:c r="K490" s="92"/>
      <x:c r="L490" s="92"/>
    </x:row>
    <x:row r="491">
      <x:c r="A491" s="94"/>
      <x:c r="B491" s="92"/>
      <x:c r="C491" s="92"/>
      <x:c r="D491" s="96"/>
      <x:c r="E491" s="92"/>
      <x:c r="F491" s="92"/>
      <x:c r="G491" s="92"/>
      <x:c r="H491" s="92"/>
      <x:c r="I491" s="92"/>
      <x:c r="J491" s="92"/>
      <x:c r="K491" s="92"/>
      <x:c r="L491" s="92"/>
    </x:row>
    <x:row r="492">
      <x:c r="A492" s="94"/>
      <x:c r="B492" s="92"/>
      <x:c r="C492" s="92"/>
      <x:c r="D492" s="96"/>
      <x:c r="E492" s="92"/>
      <x:c r="F492" s="92"/>
      <x:c r="G492" s="92"/>
      <x:c r="H492" s="92"/>
      <x:c r="I492" s="92"/>
      <x:c r="J492" s="92"/>
      <x:c r="K492" s="92"/>
      <x:c r="L492" s="92"/>
    </x:row>
    <x:row r="493">
      <x:c r="A493" s="94"/>
      <x:c r="B493" s="92"/>
      <x:c r="C493" s="92"/>
      <x:c r="D493" s="96"/>
      <x:c r="E493" s="92"/>
      <x:c r="F493" s="92"/>
      <x:c r="G493" s="92"/>
      <x:c r="H493" s="92"/>
      <x:c r="I493" s="92"/>
      <x:c r="J493" s="92"/>
      <x:c r="K493" s="92"/>
      <x:c r="L493" s="92"/>
    </x:row>
    <x:row r="494">
      <x:c r="A494" s="94"/>
      <x:c r="B494" s="92"/>
      <x:c r="C494" s="92"/>
      <x:c r="D494" s="96"/>
      <x:c r="E494" s="92"/>
      <x:c r="F494" s="92"/>
      <x:c r="G494" s="92"/>
      <x:c r="H494" s="92"/>
      <x:c r="I494" s="92"/>
      <x:c r="J494" s="92"/>
      <x:c r="K494" s="92"/>
      <x:c r="L494" s="92"/>
    </x:row>
    <x:row r="495">
      <x:c r="A495" s="94"/>
      <x:c r="B495" s="92"/>
      <x:c r="C495" s="92"/>
      <x:c r="D495" s="96"/>
      <x:c r="E495" s="92"/>
      <x:c r="F495" s="92"/>
      <x:c r="G495" s="92"/>
      <x:c r="H495" s="92"/>
      <x:c r="I495" s="92"/>
      <x:c r="J495" s="92"/>
      <x:c r="K495" s="92"/>
      <x:c r="L495" s="92"/>
    </x:row>
    <x:row r="496">
      <x:c r="A496" s="94"/>
      <x:c r="B496" s="92"/>
      <x:c r="C496" s="92"/>
      <x:c r="D496" s="96"/>
      <x:c r="E496" s="92"/>
      <x:c r="F496" s="92"/>
      <x:c r="G496" s="92"/>
      <x:c r="H496" s="92"/>
      <x:c r="I496" s="92"/>
      <x:c r="J496" s="92"/>
      <x:c r="K496" s="92"/>
      <x:c r="L496" s="92"/>
    </x:row>
    <x:row r="497">
      <x:c r="A497" s="94"/>
      <x:c r="B497" s="92"/>
      <x:c r="C497" s="92"/>
      <x:c r="D497" s="96"/>
      <x:c r="E497" s="92"/>
      <x:c r="F497" s="92"/>
      <x:c r="G497" s="92"/>
      <x:c r="H497" s="92"/>
      <x:c r="I497" s="92"/>
      <x:c r="J497" s="92"/>
      <x:c r="K497" s="92"/>
      <x:c r="L497" s="92"/>
    </x:row>
    <x:row r="498">
      <x:c r="A498" s="94"/>
      <x:c r="B498" s="92"/>
      <x:c r="C498" s="92"/>
      <x:c r="D498" s="96"/>
      <x:c r="E498" s="92"/>
      <x:c r="F498" s="92"/>
      <x:c r="G498" s="92"/>
      <x:c r="H498" s="92"/>
      <x:c r="I498" s="92"/>
      <x:c r="J498" s="92"/>
      <x:c r="K498" s="92"/>
      <x:c r="L498" s="92"/>
    </x:row>
    <x:row r="499">
      <x:c r="A499" s="94"/>
      <x:c r="B499" s="92"/>
      <x:c r="C499" s="92"/>
      <x:c r="D499" s="96"/>
      <x:c r="E499" s="92"/>
      <x:c r="F499" s="92"/>
      <x:c r="G499" s="92"/>
      <x:c r="H499" s="92"/>
      <x:c r="I499" s="92"/>
      <x:c r="J499" s="92"/>
      <x:c r="K499" s="92"/>
      <x:c r="L499" s="92"/>
    </x:row>
    <x:row r="500">
      <x:c r="A500" s="94"/>
      <x:c r="B500" s="92"/>
      <x:c r="C500" s="92"/>
      <x:c r="D500" s="96"/>
      <x:c r="E500" s="92"/>
      <x:c r="F500" s="92"/>
      <x:c r="G500" s="92"/>
      <x:c r="H500" s="92"/>
      <x:c r="I500" s="92"/>
      <x:c r="J500" s="92"/>
      <x:c r="K500" s="92"/>
      <x:c r="L500" s="92"/>
    </x:row>
    <x:row r="501">
      <x:c r="A501" s="94"/>
      <x:c r="B501" s="92"/>
      <x:c r="C501" s="92"/>
      <x:c r="D501" s="96"/>
      <x:c r="E501" s="92"/>
      <x:c r="F501" s="92"/>
      <x:c r="G501" s="92"/>
      <x:c r="H501" s="92"/>
      <x:c r="I501" s="92"/>
      <x:c r="J501" s="92"/>
      <x:c r="K501" s="92"/>
      <x:c r="L501" s="92"/>
    </x:row>
    <x:row r="502">
      <x:c r="A502" s="94"/>
      <x:c r="B502" s="92"/>
      <x:c r="C502" s="92"/>
      <x:c r="D502" s="96"/>
      <x:c r="E502" s="92"/>
      <x:c r="F502" s="92"/>
      <x:c r="G502" s="92"/>
      <x:c r="H502" s="92"/>
      <x:c r="I502" s="92"/>
      <x:c r="J502" s="92"/>
      <x:c r="K502" s="92"/>
      <x:c r="L502" s="92"/>
    </x:row>
    <x:row r="503">
      <x:c r="A503" s="94"/>
      <x:c r="B503" s="92"/>
      <x:c r="C503" s="92"/>
      <x:c r="D503" s="96"/>
      <x:c r="E503" s="92"/>
      <x:c r="F503" s="92"/>
      <x:c r="G503" s="92"/>
      <x:c r="H503" s="92"/>
      <x:c r="I503" s="92"/>
      <x:c r="J503" s="92"/>
      <x:c r="K503" s="92"/>
      <x:c r="L503" s="92"/>
    </x:row>
    <x:row r="504">
      <x:c r="A504" s="94"/>
      <x:c r="B504" s="92"/>
      <x:c r="C504" s="92"/>
      <x:c r="D504" s="96"/>
      <x:c r="E504" s="92"/>
      <x:c r="F504" s="92"/>
      <x:c r="G504" s="92"/>
      <x:c r="H504" s="92"/>
      <x:c r="I504" s="92"/>
      <x:c r="J504" s="92"/>
      <x:c r="K504" s="92"/>
      <x:c r="L504" s="92"/>
    </x:row>
    <x:row r="505">
      <x:c r="A505" s="94"/>
      <x:c r="B505" s="92"/>
      <x:c r="C505" s="92"/>
      <x:c r="D505" s="96"/>
      <x:c r="E505" s="92"/>
      <x:c r="F505" s="92"/>
      <x:c r="G505" s="92"/>
      <x:c r="H505" s="92"/>
      <x:c r="I505" s="92"/>
      <x:c r="J505" s="92"/>
      <x:c r="K505" s="92"/>
      <x:c r="L505" s="92"/>
    </x:row>
    <x:row r="506">
      <x:c r="A506" s="94"/>
      <x:c r="B506" s="92"/>
      <x:c r="C506" s="92"/>
      <x:c r="D506" s="96"/>
      <x:c r="E506" s="92"/>
      <x:c r="F506" s="92"/>
      <x:c r="G506" s="92"/>
      <x:c r="H506" s="92"/>
      <x:c r="I506" s="92"/>
      <x:c r="J506" s="92"/>
      <x:c r="K506" s="92"/>
      <x:c r="L506" s="92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" t="str">
        <x:v>仕訳帳｜銀行API・OTA・手入力の統合会計ソース</x:v>
      </x:c>
    </x:row>
    <x:row r="3">
      <x:c r="A3" t="str">
        <x:v>運用方針</x:v>
      </x:c>
      <x:c r="B3" t="str">
        <x:v>ここを最終会計ソースとする。入力ページ駆動モデルと併用し、会計事務所提出用の仕訳・試算表に発展可能。</x:v>
      </x:c>
    </x:row>
    <x:row r="6">
      <x:c r="A6" s="32" t="str">
        <x:v>仕訳ID</x:v>
      </x:c>
      <x:c r="B6" s="32" t="str">
        <x:v>日付</x:v>
      </x:c>
      <x:c r="C6" s="32" t="str">
        <x:v>月</x:v>
      </x:c>
      <x:c r="D6" s="32" t="str">
        <x:v>摘要</x:v>
      </x:c>
      <x:c r="E6" s="32" t="str">
        <x:v>借方科目</x:v>
      </x:c>
      <x:c r="F6" s="32" t="str">
        <x:v>借方補助</x:v>
      </x:c>
      <x:c r="G6" s="32" t="str">
        <x:v>借方金額</x:v>
      </x:c>
      <x:c r="H6" s="32" t="str">
        <x:v>貸方科目</x:v>
      </x:c>
      <x:c r="I6" s="32" t="str">
        <x:v>貸方補助</x:v>
      </x:c>
      <x:c r="J6" s="32" t="str">
        <x:v>貸方金額</x:v>
      </x:c>
      <x:c r="K6" s="32" t="str">
        <x:v>税区分</x:v>
      </x:c>
      <x:c r="L6" s="32" t="str">
        <x:v>取引先</x:v>
      </x:c>
      <x:c r="M6" s="32" t="str">
        <x:v>ソース</x:v>
      </x:c>
      <x:c r="N6" s="32" t="str">
        <x:v>メモ</x:v>
      </x:c>
    </x:row>
    <x:row r="7">
      <x:c r="A7" s="98" t="str">
        <x:f>IF(B7="","",ROW()-6)</x:f>
      </x:c>
      <x:c r="B7" s="102"/>
      <x:c r="C7" s="98" t="str">
        <x:f>IF(B7="","",TEXT(B7,"yyyy/mm"))</x:f>
      </x:c>
      <x:c r="D7" s="100"/>
      <x:c r="E7" s="100"/>
      <x:c r="F7" s="100"/>
      <x:c r="G7" s="104"/>
      <x:c r="H7" s="100"/>
      <x:c r="I7" s="100"/>
      <x:c r="J7" s="104"/>
      <x:c r="K7" s="100"/>
      <x:c r="L7" s="100"/>
      <x:c r="M7" s="100"/>
      <x:c r="N7" s="100"/>
    </x:row>
    <x:row r="8">
      <x:c r="A8" s="98" t="str">
        <x:f>IF(B8="","",ROW()-6)</x:f>
      </x:c>
      <x:c r="B8" s="102"/>
      <x:c r="C8" s="98" t="str">
        <x:f>IF(B8="","",TEXT(B8,"yyyy/mm"))</x:f>
      </x:c>
      <x:c r="D8" s="100"/>
      <x:c r="E8" s="100"/>
      <x:c r="F8" s="100"/>
      <x:c r="G8" s="104"/>
      <x:c r="H8" s="100"/>
      <x:c r="I8" s="100"/>
      <x:c r="J8" s="104"/>
      <x:c r="K8" s="100"/>
      <x:c r="L8" s="100"/>
      <x:c r="M8" s="100"/>
      <x:c r="N8" s="100"/>
    </x:row>
    <x:row r="9">
      <x:c r="A9" s="98" t="str">
        <x:f>IF(B9="","",ROW()-6)</x:f>
      </x:c>
      <x:c r="B9" s="102"/>
      <x:c r="C9" s="98" t="str">
        <x:f>IF(B9="","",TEXT(B9,"yyyy/mm"))</x:f>
      </x:c>
      <x:c r="D9" s="100"/>
      <x:c r="E9" s="100"/>
      <x:c r="F9" s="100"/>
      <x:c r="G9" s="104"/>
      <x:c r="H9" s="100"/>
      <x:c r="I9" s="100"/>
      <x:c r="J9" s="104"/>
      <x:c r="K9" s="100"/>
      <x:c r="L9" s="100"/>
      <x:c r="M9" s="100"/>
      <x:c r="N9" s="100"/>
    </x:row>
    <x:row r="10">
      <x:c r="A10" s="98" t="str">
        <x:f>IF(B10="","",ROW()-6)</x:f>
      </x:c>
      <x:c r="B10" s="102"/>
      <x:c r="C10" s="98" t="str">
        <x:f>IF(B10="","",TEXT(B10,"yyyy/mm"))</x:f>
      </x:c>
      <x:c r="D10" s="100"/>
      <x:c r="E10" s="100"/>
      <x:c r="F10" s="100"/>
      <x:c r="G10" s="104"/>
      <x:c r="H10" s="100"/>
      <x:c r="I10" s="100"/>
      <x:c r="J10" s="104"/>
      <x:c r="K10" s="100"/>
      <x:c r="L10" s="100"/>
      <x:c r="M10" s="100"/>
      <x:c r="N10" s="100"/>
    </x:row>
    <x:row r="11">
      <x:c r="A11" s="98" t="str">
        <x:f>IF(B11="","",ROW()-6)</x:f>
      </x:c>
      <x:c r="B11" s="102"/>
      <x:c r="C11" s="98" t="str">
        <x:f>IF(B11="","",TEXT(B11,"yyyy/mm"))</x:f>
      </x:c>
      <x:c r="D11" s="100"/>
      <x:c r="E11" s="100"/>
      <x:c r="F11" s="100"/>
      <x:c r="G11" s="104"/>
      <x:c r="H11" s="100"/>
      <x:c r="I11" s="100"/>
      <x:c r="J11" s="104"/>
      <x:c r="K11" s="100"/>
      <x:c r="L11" s="100"/>
      <x:c r="M11" s="100"/>
      <x:c r="N11" s="100"/>
    </x:row>
    <x:row r="12">
      <x:c r="A12" s="98" t="str">
        <x:f>IF(B12="","",ROW()-6)</x:f>
      </x:c>
      <x:c r="B12" s="102"/>
      <x:c r="C12" s="98" t="str">
        <x:f>IF(B12="","",TEXT(B12,"yyyy/mm"))</x:f>
      </x:c>
      <x:c r="D12" s="100"/>
      <x:c r="E12" s="100"/>
      <x:c r="F12" s="100"/>
      <x:c r="G12" s="104"/>
      <x:c r="H12" s="100"/>
      <x:c r="I12" s="100"/>
      <x:c r="J12" s="104"/>
      <x:c r="K12" s="100"/>
      <x:c r="L12" s="100"/>
      <x:c r="M12" s="100"/>
      <x:c r="N12" s="100"/>
    </x:row>
    <x:row r="13">
      <x:c r="A13" s="98" t="str">
        <x:f>IF(B13="","",ROW()-6)</x:f>
      </x:c>
      <x:c r="B13" s="102"/>
      <x:c r="C13" s="98" t="str">
        <x:f>IF(B13="","",TEXT(B13,"yyyy/mm"))</x:f>
      </x:c>
      <x:c r="D13" s="100"/>
      <x:c r="E13" s="100"/>
      <x:c r="F13" s="100"/>
      <x:c r="G13" s="104"/>
      <x:c r="H13" s="100"/>
      <x:c r="I13" s="100"/>
      <x:c r="J13" s="104"/>
      <x:c r="K13" s="100"/>
      <x:c r="L13" s="100"/>
      <x:c r="M13" s="100"/>
      <x:c r="N13" s="100"/>
    </x:row>
    <x:row r="14">
      <x:c r="A14" s="98" t="str">
        <x:f>IF(B14="","",ROW()-6)</x:f>
      </x:c>
      <x:c r="B14" s="102"/>
      <x:c r="C14" s="98" t="str">
        <x:f>IF(B14="","",TEXT(B14,"yyyy/mm"))</x:f>
      </x:c>
      <x:c r="D14" s="100"/>
      <x:c r="E14" s="100"/>
      <x:c r="F14" s="100"/>
      <x:c r="G14" s="104"/>
      <x:c r="H14" s="100"/>
      <x:c r="I14" s="100"/>
      <x:c r="J14" s="104"/>
      <x:c r="K14" s="100"/>
      <x:c r="L14" s="100"/>
      <x:c r="M14" s="100"/>
      <x:c r="N14" s="100"/>
    </x:row>
    <x:row r="15">
      <x:c r="A15" s="98" t="str">
        <x:f>IF(B15="","",ROW()-6)</x:f>
      </x:c>
      <x:c r="B15" s="102"/>
      <x:c r="C15" s="98" t="str">
        <x:f>IF(B15="","",TEXT(B15,"yyyy/mm"))</x:f>
      </x:c>
      <x:c r="D15" s="100"/>
      <x:c r="E15" s="100"/>
      <x:c r="F15" s="100"/>
      <x:c r="G15" s="104"/>
      <x:c r="H15" s="100"/>
      <x:c r="I15" s="100"/>
      <x:c r="J15" s="104"/>
      <x:c r="K15" s="100"/>
      <x:c r="L15" s="100"/>
      <x:c r="M15" s="100"/>
      <x:c r="N15" s="100"/>
    </x:row>
    <x:row r="16">
      <x:c r="A16" s="98" t="str">
        <x:f>IF(B16="","",ROW()-6)</x:f>
      </x:c>
      <x:c r="B16" s="102"/>
      <x:c r="C16" s="98" t="str">
        <x:f>IF(B16="","",TEXT(B16,"yyyy/mm"))</x:f>
      </x:c>
      <x:c r="D16" s="100"/>
      <x:c r="E16" s="100"/>
      <x:c r="F16" s="100"/>
      <x:c r="G16" s="104"/>
      <x:c r="H16" s="100"/>
      <x:c r="I16" s="100"/>
      <x:c r="J16" s="104"/>
      <x:c r="K16" s="100"/>
      <x:c r="L16" s="100"/>
      <x:c r="M16" s="100"/>
      <x:c r="N16" s="100"/>
    </x:row>
    <x:row r="17">
      <x:c r="A17" s="98" t="str">
        <x:f>IF(B17="","",ROW()-6)</x:f>
      </x:c>
      <x:c r="B17" s="102"/>
      <x:c r="C17" s="98" t="str">
        <x:f>IF(B17="","",TEXT(B17,"yyyy/mm"))</x:f>
      </x:c>
      <x:c r="D17" s="100"/>
      <x:c r="E17" s="100"/>
      <x:c r="F17" s="100"/>
      <x:c r="G17" s="104"/>
      <x:c r="H17" s="100"/>
      <x:c r="I17" s="100"/>
      <x:c r="J17" s="104"/>
      <x:c r="K17" s="100"/>
      <x:c r="L17" s="100"/>
      <x:c r="M17" s="100"/>
      <x:c r="N17" s="100"/>
    </x:row>
    <x:row r="18">
      <x:c r="A18" s="98" t="str">
        <x:f>IF(B18="","",ROW()-6)</x:f>
      </x:c>
      <x:c r="B18" s="102"/>
      <x:c r="C18" s="98" t="str">
        <x:f>IF(B18="","",TEXT(B18,"yyyy/mm"))</x:f>
      </x:c>
      <x:c r="D18" s="100"/>
      <x:c r="E18" s="100"/>
      <x:c r="F18" s="100"/>
      <x:c r="G18" s="104"/>
      <x:c r="H18" s="100"/>
      <x:c r="I18" s="100"/>
      <x:c r="J18" s="104"/>
      <x:c r="K18" s="100"/>
      <x:c r="L18" s="100"/>
      <x:c r="M18" s="100"/>
      <x:c r="N18" s="100"/>
    </x:row>
    <x:row r="19">
      <x:c r="A19" s="98" t="str">
        <x:f>IF(B19="","",ROW()-6)</x:f>
      </x:c>
      <x:c r="B19" s="102"/>
      <x:c r="C19" s="98" t="str">
        <x:f>IF(B19="","",TEXT(B19,"yyyy/mm"))</x:f>
      </x:c>
      <x:c r="D19" s="100"/>
      <x:c r="E19" s="100"/>
      <x:c r="F19" s="100"/>
      <x:c r="G19" s="104"/>
      <x:c r="H19" s="100"/>
      <x:c r="I19" s="100"/>
      <x:c r="J19" s="104"/>
      <x:c r="K19" s="100"/>
      <x:c r="L19" s="100"/>
      <x:c r="M19" s="100"/>
      <x:c r="N19" s="100"/>
    </x:row>
    <x:row r="20">
      <x:c r="A20" s="98" t="str">
        <x:f>IF(B20="","",ROW()-6)</x:f>
      </x:c>
      <x:c r="B20" s="102"/>
      <x:c r="C20" s="98" t="str">
        <x:f>IF(B20="","",TEXT(B20,"yyyy/mm"))</x:f>
      </x:c>
      <x:c r="D20" s="100"/>
      <x:c r="E20" s="100"/>
      <x:c r="F20" s="100"/>
      <x:c r="G20" s="104"/>
      <x:c r="H20" s="100"/>
      <x:c r="I20" s="100"/>
      <x:c r="J20" s="104"/>
      <x:c r="K20" s="100"/>
      <x:c r="L20" s="100"/>
      <x:c r="M20" s="100"/>
      <x:c r="N20" s="100"/>
    </x:row>
    <x:row r="21">
      <x:c r="A21" s="98" t="str">
        <x:f>IF(B21="","",ROW()-6)</x:f>
      </x:c>
      <x:c r="B21" s="102"/>
      <x:c r="C21" s="98" t="str">
        <x:f>IF(B21="","",TEXT(B21,"yyyy/mm"))</x:f>
      </x:c>
      <x:c r="D21" s="100"/>
      <x:c r="E21" s="100"/>
      <x:c r="F21" s="100"/>
      <x:c r="G21" s="104"/>
      <x:c r="H21" s="100"/>
      <x:c r="I21" s="100"/>
      <x:c r="J21" s="104"/>
      <x:c r="K21" s="100"/>
      <x:c r="L21" s="100"/>
      <x:c r="M21" s="100"/>
      <x:c r="N21" s="100"/>
    </x:row>
    <x:row r="22">
      <x:c r="A22" s="98" t="str">
        <x:f>IF(B22="","",ROW()-6)</x:f>
      </x:c>
      <x:c r="B22" s="102"/>
      <x:c r="C22" s="98" t="str">
        <x:f>IF(B22="","",TEXT(B22,"yyyy/mm"))</x:f>
      </x:c>
      <x:c r="D22" s="100"/>
      <x:c r="E22" s="100"/>
      <x:c r="F22" s="100"/>
      <x:c r="G22" s="104"/>
      <x:c r="H22" s="100"/>
      <x:c r="I22" s="100"/>
      <x:c r="J22" s="104"/>
      <x:c r="K22" s="100"/>
      <x:c r="L22" s="100"/>
      <x:c r="M22" s="100"/>
      <x:c r="N22" s="100"/>
    </x:row>
    <x:row r="23">
      <x:c r="A23" s="98" t="str">
        <x:f>IF(B23="","",ROW()-6)</x:f>
      </x:c>
      <x:c r="B23" s="102"/>
      <x:c r="C23" s="98" t="str">
        <x:f>IF(B23="","",TEXT(B23,"yyyy/mm"))</x:f>
      </x:c>
      <x:c r="D23" s="100"/>
      <x:c r="E23" s="100"/>
      <x:c r="F23" s="100"/>
      <x:c r="G23" s="104"/>
      <x:c r="H23" s="100"/>
      <x:c r="I23" s="100"/>
      <x:c r="J23" s="104"/>
      <x:c r="K23" s="100"/>
      <x:c r="L23" s="100"/>
      <x:c r="M23" s="100"/>
      <x:c r="N23" s="100"/>
    </x:row>
    <x:row r="24">
      <x:c r="A24" s="98" t="str">
        <x:f>IF(B24="","",ROW()-6)</x:f>
      </x:c>
      <x:c r="B24" s="102"/>
      <x:c r="C24" s="98" t="str">
        <x:f>IF(B24="","",TEXT(B24,"yyyy/mm"))</x:f>
      </x:c>
      <x:c r="D24" s="100"/>
      <x:c r="E24" s="100"/>
      <x:c r="F24" s="100"/>
      <x:c r="G24" s="104"/>
      <x:c r="H24" s="100"/>
      <x:c r="I24" s="100"/>
      <x:c r="J24" s="104"/>
      <x:c r="K24" s="100"/>
      <x:c r="L24" s="100"/>
      <x:c r="M24" s="100"/>
      <x:c r="N24" s="100"/>
    </x:row>
    <x:row r="25">
      <x:c r="A25" s="98" t="str">
        <x:f>IF(B25="","",ROW()-6)</x:f>
      </x:c>
      <x:c r="B25" s="102"/>
      <x:c r="C25" s="98" t="str">
        <x:f>IF(B25="","",TEXT(B25,"yyyy/mm"))</x:f>
      </x:c>
      <x:c r="D25" s="100"/>
      <x:c r="E25" s="100"/>
      <x:c r="F25" s="100"/>
      <x:c r="G25" s="104"/>
      <x:c r="H25" s="100"/>
      <x:c r="I25" s="100"/>
      <x:c r="J25" s="104"/>
      <x:c r="K25" s="100"/>
      <x:c r="L25" s="100"/>
      <x:c r="M25" s="100"/>
      <x:c r="N25" s="100"/>
    </x:row>
    <x:row r="26">
      <x:c r="A26" s="98" t="str">
        <x:f>IF(B26="","",ROW()-6)</x:f>
      </x:c>
      <x:c r="B26" s="102"/>
      <x:c r="C26" s="98" t="str">
        <x:f>IF(B26="","",TEXT(B26,"yyyy/mm"))</x:f>
      </x:c>
      <x:c r="D26" s="100"/>
      <x:c r="E26" s="100"/>
      <x:c r="F26" s="100"/>
      <x:c r="G26" s="104"/>
      <x:c r="H26" s="100"/>
      <x:c r="I26" s="100"/>
      <x:c r="J26" s="104"/>
      <x:c r="K26" s="100"/>
      <x:c r="L26" s="100"/>
      <x:c r="M26" s="100"/>
      <x:c r="N26" s="100"/>
    </x:row>
    <x:row r="27">
      <x:c r="A27" s="98" t="str">
        <x:f>IF(B27="","",ROW()-6)</x:f>
      </x:c>
      <x:c r="B27" s="102"/>
      <x:c r="C27" s="98" t="str">
        <x:f>IF(B27="","",TEXT(B27,"yyyy/mm"))</x:f>
      </x:c>
      <x:c r="D27" s="100"/>
      <x:c r="E27" s="100"/>
      <x:c r="F27" s="100"/>
      <x:c r="G27" s="104"/>
      <x:c r="H27" s="100"/>
      <x:c r="I27" s="100"/>
      <x:c r="J27" s="104"/>
      <x:c r="K27" s="100"/>
      <x:c r="L27" s="100"/>
      <x:c r="M27" s="100"/>
      <x:c r="N27" s="100"/>
    </x:row>
    <x:row r="28">
      <x:c r="A28" s="98" t="str">
        <x:f>IF(B28="","",ROW()-6)</x:f>
      </x:c>
      <x:c r="B28" s="102"/>
      <x:c r="C28" s="98" t="str">
        <x:f>IF(B28="","",TEXT(B28,"yyyy/mm"))</x:f>
      </x:c>
      <x:c r="D28" s="100"/>
      <x:c r="E28" s="100"/>
      <x:c r="F28" s="100"/>
      <x:c r="G28" s="104"/>
      <x:c r="H28" s="100"/>
      <x:c r="I28" s="100"/>
      <x:c r="J28" s="104"/>
      <x:c r="K28" s="100"/>
      <x:c r="L28" s="100"/>
      <x:c r="M28" s="100"/>
      <x:c r="N28" s="100"/>
    </x:row>
    <x:row r="29">
      <x:c r="A29" s="98" t="str">
        <x:f>IF(B29="","",ROW()-6)</x:f>
      </x:c>
      <x:c r="B29" s="102"/>
      <x:c r="C29" s="98" t="str">
        <x:f>IF(B29="","",TEXT(B29,"yyyy/mm"))</x:f>
      </x:c>
      <x:c r="D29" s="100"/>
      <x:c r="E29" s="100"/>
      <x:c r="F29" s="100"/>
      <x:c r="G29" s="104"/>
      <x:c r="H29" s="100"/>
      <x:c r="I29" s="100"/>
      <x:c r="J29" s="104"/>
      <x:c r="K29" s="100"/>
      <x:c r="L29" s="100"/>
      <x:c r="M29" s="100"/>
      <x:c r="N29" s="100"/>
    </x:row>
    <x:row r="30">
      <x:c r="A30" s="98" t="str">
        <x:f>IF(B30="","",ROW()-6)</x:f>
      </x:c>
      <x:c r="B30" s="102"/>
      <x:c r="C30" s="98" t="str">
        <x:f>IF(B30="","",TEXT(B30,"yyyy/mm"))</x:f>
      </x:c>
      <x:c r="D30" s="100"/>
      <x:c r="E30" s="100"/>
      <x:c r="F30" s="100"/>
      <x:c r="G30" s="104"/>
      <x:c r="H30" s="100"/>
      <x:c r="I30" s="100"/>
      <x:c r="J30" s="104"/>
      <x:c r="K30" s="100"/>
      <x:c r="L30" s="100"/>
      <x:c r="M30" s="100"/>
      <x:c r="N30" s="100"/>
    </x:row>
    <x:row r="31">
      <x:c r="A31" s="98" t="str">
        <x:f>IF(B31="","",ROW()-6)</x:f>
      </x:c>
      <x:c r="B31" s="102"/>
      <x:c r="C31" s="98" t="str">
        <x:f>IF(B31="","",TEXT(B31,"yyyy/mm"))</x:f>
      </x:c>
      <x:c r="D31" s="100"/>
      <x:c r="E31" s="100"/>
      <x:c r="F31" s="100"/>
      <x:c r="G31" s="104"/>
      <x:c r="H31" s="100"/>
      <x:c r="I31" s="100"/>
      <x:c r="J31" s="104"/>
      <x:c r="K31" s="100"/>
      <x:c r="L31" s="100"/>
      <x:c r="M31" s="100"/>
      <x:c r="N31" s="100"/>
    </x:row>
    <x:row r="32">
      <x:c r="A32" s="98" t="str">
        <x:f>IF(B32="","",ROW()-6)</x:f>
      </x:c>
      <x:c r="B32" s="102"/>
      <x:c r="C32" s="98" t="str">
        <x:f>IF(B32="","",TEXT(B32,"yyyy/mm"))</x:f>
      </x:c>
      <x:c r="D32" s="100"/>
      <x:c r="E32" s="100"/>
      <x:c r="F32" s="100"/>
      <x:c r="G32" s="104"/>
      <x:c r="H32" s="100"/>
      <x:c r="I32" s="100"/>
      <x:c r="J32" s="104"/>
      <x:c r="K32" s="100"/>
      <x:c r="L32" s="100"/>
      <x:c r="M32" s="100"/>
      <x:c r="N32" s="100"/>
    </x:row>
    <x:row r="33">
      <x:c r="A33" s="98" t="str">
        <x:f>IF(B33="","",ROW()-6)</x:f>
      </x:c>
      <x:c r="B33" s="102"/>
      <x:c r="C33" s="98" t="str">
        <x:f>IF(B33="","",TEXT(B33,"yyyy/mm"))</x:f>
      </x:c>
      <x:c r="D33" s="100"/>
      <x:c r="E33" s="100"/>
      <x:c r="F33" s="100"/>
      <x:c r="G33" s="104"/>
      <x:c r="H33" s="100"/>
      <x:c r="I33" s="100"/>
      <x:c r="J33" s="104"/>
      <x:c r="K33" s="100"/>
      <x:c r="L33" s="100"/>
      <x:c r="M33" s="100"/>
      <x:c r="N33" s="100"/>
    </x:row>
    <x:row r="34">
      <x:c r="A34" s="98" t="str">
        <x:f>IF(B34="","",ROW()-6)</x:f>
      </x:c>
      <x:c r="B34" s="102"/>
      <x:c r="C34" s="98" t="str">
        <x:f>IF(B34="","",TEXT(B34,"yyyy/mm"))</x:f>
      </x:c>
      <x:c r="D34" s="100"/>
      <x:c r="E34" s="100"/>
      <x:c r="F34" s="100"/>
      <x:c r="G34" s="104"/>
      <x:c r="H34" s="100"/>
      <x:c r="I34" s="100"/>
      <x:c r="J34" s="104"/>
      <x:c r="K34" s="100"/>
      <x:c r="L34" s="100"/>
      <x:c r="M34" s="100"/>
      <x:c r="N34" s="100"/>
    </x:row>
    <x:row r="35">
      <x:c r="A35" s="98" t="str">
        <x:f>IF(B35="","",ROW()-6)</x:f>
      </x:c>
      <x:c r="B35" s="102"/>
      <x:c r="C35" s="98" t="str">
        <x:f>IF(B35="","",TEXT(B35,"yyyy/mm"))</x:f>
      </x:c>
      <x:c r="D35" s="100"/>
      <x:c r="E35" s="100"/>
      <x:c r="F35" s="100"/>
      <x:c r="G35" s="104"/>
      <x:c r="H35" s="100"/>
      <x:c r="I35" s="100"/>
      <x:c r="J35" s="104"/>
      <x:c r="K35" s="100"/>
      <x:c r="L35" s="100"/>
      <x:c r="M35" s="100"/>
      <x:c r="N35" s="100"/>
    </x:row>
    <x:row r="36">
      <x:c r="A36" s="98" t="str">
        <x:f>IF(B36="","",ROW()-6)</x:f>
      </x:c>
      <x:c r="B36" s="102"/>
      <x:c r="C36" s="98" t="str">
        <x:f>IF(B36="","",TEXT(B36,"yyyy/mm"))</x:f>
      </x:c>
      <x:c r="D36" s="100"/>
      <x:c r="E36" s="100"/>
      <x:c r="F36" s="100"/>
      <x:c r="G36" s="104"/>
      <x:c r="H36" s="100"/>
      <x:c r="I36" s="100"/>
      <x:c r="J36" s="104"/>
      <x:c r="K36" s="100"/>
      <x:c r="L36" s="100"/>
      <x:c r="M36" s="100"/>
      <x:c r="N36" s="100"/>
    </x:row>
    <x:row r="37">
      <x:c r="A37" s="98" t="str">
        <x:f>IF(B37="","",ROW()-6)</x:f>
      </x:c>
      <x:c r="B37" s="102"/>
      <x:c r="C37" s="98" t="str">
        <x:f>IF(B37="","",TEXT(B37,"yyyy/mm"))</x:f>
      </x:c>
      <x:c r="D37" s="100"/>
      <x:c r="E37" s="100"/>
      <x:c r="F37" s="100"/>
      <x:c r="G37" s="104"/>
      <x:c r="H37" s="100"/>
      <x:c r="I37" s="100"/>
      <x:c r="J37" s="104"/>
      <x:c r="K37" s="100"/>
      <x:c r="L37" s="100"/>
      <x:c r="M37" s="100"/>
      <x:c r="N37" s="100"/>
    </x:row>
    <x:row r="38">
      <x:c r="A38" s="98" t="str">
        <x:f>IF(B38="","",ROW()-6)</x:f>
      </x:c>
      <x:c r="B38" s="102"/>
      <x:c r="C38" s="98" t="str">
        <x:f>IF(B38="","",TEXT(B38,"yyyy/mm"))</x:f>
      </x:c>
      <x:c r="D38" s="100"/>
      <x:c r="E38" s="100"/>
      <x:c r="F38" s="100"/>
      <x:c r="G38" s="104"/>
      <x:c r="H38" s="100"/>
      <x:c r="I38" s="100"/>
      <x:c r="J38" s="104"/>
      <x:c r="K38" s="100"/>
      <x:c r="L38" s="100"/>
      <x:c r="M38" s="100"/>
      <x:c r="N38" s="100"/>
    </x:row>
    <x:row r="39">
      <x:c r="A39" s="98" t="str">
        <x:f>IF(B39="","",ROW()-6)</x:f>
      </x:c>
      <x:c r="B39" s="102"/>
      <x:c r="C39" s="98" t="str">
        <x:f>IF(B39="","",TEXT(B39,"yyyy/mm"))</x:f>
      </x:c>
      <x:c r="D39" s="100"/>
      <x:c r="E39" s="100"/>
      <x:c r="F39" s="100"/>
      <x:c r="G39" s="104"/>
      <x:c r="H39" s="100"/>
      <x:c r="I39" s="100"/>
      <x:c r="J39" s="104"/>
      <x:c r="K39" s="100"/>
      <x:c r="L39" s="100"/>
      <x:c r="M39" s="100"/>
      <x:c r="N39" s="100"/>
    </x:row>
    <x:row r="40">
      <x:c r="A40" s="98" t="str">
        <x:f>IF(B40="","",ROW()-6)</x:f>
      </x:c>
      <x:c r="B40" s="102"/>
      <x:c r="C40" s="98" t="str">
        <x:f>IF(B40="","",TEXT(B40,"yyyy/mm"))</x:f>
      </x:c>
      <x:c r="D40" s="100"/>
      <x:c r="E40" s="100"/>
      <x:c r="F40" s="100"/>
      <x:c r="G40" s="104"/>
      <x:c r="H40" s="100"/>
      <x:c r="I40" s="100"/>
      <x:c r="J40" s="104"/>
      <x:c r="K40" s="100"/>
      <x:c r="L40" s="100"/>
      <x:c r="M40" s="100"/>
      <x:c r="N40" s="100"/>
    </x:row>
    <x:row r="41">
      <x:c r="A41" s="98" t="str">
        <x:f>IF(B41="","",ROW()-6)</x:f>
      </x:c>
      <x:c r="B41" s="102"/>
      <x:c r="C41" s="98" t="str">
        <x:f>IF(B41="","",TEXT(B41,"yyyy/mm"))</x:f>
      </x:c>
      <x:c r="D41" s="100"/>
      <x:c r="E41" s="100"/>
      <x:c r="F41" s="100"/>
      <x:c r="G41" s="104"/>
      <x:c r="H41" s="100"/>
      <x:c r="I41" s="100"/>
      <x:c r="J41" s="104"/>
      <x:c r="K41" s="100"/>
      <x:c r="L41" s="100"/>
      <x:c r="M41" s="100"/>
      <x:c r="N41" s="100"/>
    </x:row>
    <x:row r="42">
      <x:c r="A42" s="98" t="str">
        <x:f>IF(B42="","",ROW()-6)</x:f>
      </x:c>
      <x:c r="B42" s="102"/>
      <x:c r="C42" s="98" t="str">
        <x:f>IF(B42="","",TEXT(B42,"yyyy/mm"))</x:f>
      </x:c>
      <x:c r="D42" s="100"/>
      <x:c r="E42" s="100"/>
      <x:c r="F42" s="100"/>
      <x:c r="G42" s="104"/>
      <x:c r="H42" s="100"/>
      <x:c r="I42" s="100"/>
      <x:c r="J42" s="104"/>
      <x:c r="K42" s="100"/>
      <x:c r="L42" s="100"/>
      <x:c r="M42" s="100"/>
      <x:c r="N42" s="100"/>
    </x:row>
    <x:row r="43">
      <x:c r="A43" s="98" t="str">
        <x:f>IF(B43="","",ROW()-6)</x:f>
      </x:c>
      <x:c r="B43" s="102"/>
      <x:c r="C43" s="98" t="str">
        <x:f>IF(B43="","",TEXT(B43,"yyyy/mm"))</x:f>
      </x:c>
      <x:c r="D43" s="100"/>
      <x:c r="E43" s="100"/>
      <x:c r="F43" s="100"/>
      <x:c r="G43" s="104"/>
      <x:c r="H43" s="100"/>
      <x:c r="I43" s="100"/>
      <x:c r="J43" s="104"/>
      <x:c r="K43" s="100"/>
      <x:c r="L43" s="100"/>
      <x:c r="M43" s="100"/>
      <x:c r="N43" s="100"/>
    </x:row>
    <x:row r="44">
      <x:c r="A44" s="98" t="str">
        <x:f>IF(B44="","",ROW()-6)</x:f>
      </x:c>
      <x:c r="B44" s="102"/>
      <x:c r="C44" s="98" t="str">
        <x:f>IF(B44="","",TEXT(B44,"yyyy/mm"))</x:f>
      </x:c>
      <x:c r="D44" s="100"/>
      <x:c r="E44" s="100"/>
      <x:c r="F44" s="100"/>
      <x:c r="G44" s="104"/>
      <x:c r="H44" s="100"/>
      <x:c r="I44" s="100"/>
      <x:c r="J44" s="104"/>
      <x:c r="K44" s="100"/>
      <x:c r="L44" s="100"/>
      <x:c r="M44" s="100"/>
      <x:c r="N44" s="100"/>
    </x:row>
    <x:row r="45">
      <x:c r="A45" s="98" t="str">
        <x:f>IF(B45="","",ROW()-6)</x:f>
      </x:c>
      <x:c r="B45" s="102"/>
      <x:c r="C45" s="98" t="str">
        <x:f>IF(B45="","",TEXT(B45,"yyyy/mm"))</x:f>
      </x:c>
      <x:c r="D45" s="100"/>
      <x:c r="E45" s="100"/>
      <x:c r="F45" s="100"/>
      <x:c r="G45" s="104"/>
      <x:c r="H45" s="100"/>
      <x:c r="I45" s="100"/>
      <x:c r="J45" s="104"/>
      <x:c r="K45" s="100"/>
      <x:c r="L45" s="100"/>
      <x:c r="M45" s="100"/>
      <x:c r="N45" s="100"/>
    </x:row>
    <x:row r="46">
      <x:c r="A46" s="98" t="str">
        <x:f>IF(B46="","",ROW()-6)</x:f>
      </x:c>
      <x:c r="B46" s="102"/>
      <x:c r="C46" s="98" t="str">
        <x:f>IF(B46="","",TEXT(B46,"yyyy/mm"))</x:f>
      </x:c>
      <x:c r="D46" s="100"/>
      <x:c r="E46" s="100"/>
      <x:c r="F46" s="100"/>
      <x:c r="G46" s="104"/>
      <x:c r="H46" s="100"/>
      <x:c r="I46" s="100"/>
      <x:c r="J46" s="104"/>
      <x:c r="K46" s="100"/>
      <x:c r="L46" s="100"/>
      <x:c r="M46" s="100"/>
      <x:c r="N46" s="100"/>
    </x:row>
    <x:row r="47">
      <x:c r="A47" s="98" t="str">
        <x:f>IF(B47="","",ROW()-6)</x:f>
      </x:c>
      <x:c r="B47" s="102"/>
      <x:c r="C47" s="98" t="str">
        <x:f>IF(B47="","",TEXT(B47,"yyyy/mm"))</x:f>
      </x:c>
      <x:c r="D47" s="100"/>
      <x:c r="E47" s="100"/>
      <x:c r="F47" s="100"/>
      <x:c r="G47" s="104"/>
      <x:c r="H47" s="100"/>
      <x:c r="I47" s="100"/>
      <x:c r="J47" s="104"/>
      <x:c r="K47" s="100"/>
      <x:c r="L47" s="100"/>
      <x:c r="M47" s="100"/>
      <x:c r="N47" s="100"/>
    </x:row>
    <x:row r="48">
      <x:c r="A48" s="98" t="str">
        <x:f>IF(B48="","",ROW()-6)</x:f>
      </x:c>
      <x:c r="B48" s="102"/>
      <x:c r="C48" s="98" t="str">
        <x:f>IF(B48="","",TEXT(B48,"yyyy/mm"))</x:f>
      </x:c>
      <x:c r="D48" s="100"/>
      <x:c r="E48" s="100"/>
      <x:c r="F48" s="100"/>
      <x:c r="G48" s="104"/>
      <x:c r="H48" s="100"/>
      <x:c r="I48" s="100"/>
      <x:c r="J48" s="104"/>
      <x:c r="K48" s="100"/>
      <x:c r="L48" s="100"/>
      <x:c r="M48" s="100"/>
      <x:c r="N48" s="100"/>
    </x:row>
    <x:row r="49">
      <x:c r="A49" s="98" t="str">
        <x:f>IF(B49="","",ROW()-6)</x:f>
      </x:c>
      <x:c r="B49" s="102"/>
      <x:c r="C49" s="98" t="str">
        <x:f>IF(B49="","",TEXT(B49,"yyyy/mm"))</x:f>
      </x:c>
      <x:c r="D49" s="100"/>
      <x:c r="E49" s="100"/>
      <x:c r="F49" s="100"/>
      <x:c r="G49" s="104"/>
      <x:c r="H49" s="100"/>
      <x:c r="I49" s="100"/>
      <x:c r="J49" s="104"/>
      <x:c r="K49" s="100"/>
      <x:c r="L49" s="100"/>
      <x:c r="M49" s="100"/>
      <x:c r="N49" s="100"/>
    </x:row>
    <x:row r="50">
      <x:c r="A50" s="98" t="str">
        <x:f>IF(B50="","",ROW()-6)</x:f>
      </x:c>
      <x:c r="B50" s="102"/>
      <x:c r="C50" s="98" t="str">
        <x:f>IF(B50="","",TEXT(B50,"yyyy/mm"))</x:f>
      </x:c>
      <x:c r="D50" s="100"/>
      <x:c r="E50" s="100"/>
      <x:c r="F50" s="100"/>
      <x:c r="G50" s="104"/>
      <x:c r="H50" s="100"/>
      <x:c r="I50" s="100"/>
      <x:c r="J50" s="104"/>
      <x:c r="K50" s="100"/>
      <x:c r="L50" s="100"/>
      <x:c r="M50" s="100"/>
      <x:c r="N50" s="100"/>
    </x:row>
    <x:row r="51">
      <x:c r="A51" s="98" t="str">
        <x:f>IF(B51="","",ROW()-6)</x:f>
      </x:c>
      <x:c r="B51" s="102"/>
      <x:c r="C51" s="98" t="str">
        <x:f>IF(B51="","",TEXT(B51,"yyyy/mm"))</x:f>
      </x:c>
      <x:c r="D51" s="100"/>
      <x:c r="E51" s="100"/>
      <x:c r="F51" s="100"/>
      <x:c r="G51" s="104"/>
      <x:c r="H51" s="100"/>
      <x:c r="I51" s="100"/>
      <x:c r="J51" s="104"/>
      <x:c r="K51" s="100"/>
      <x:c r="L51" s="100"/>
      <x:c r="M51" s="100"/>
      <x:c r="N51" s="100"/>
    </x:row>
    <x:row r="52">
      <x:c r="A52" s="98" t="str">
        <x:f>IF(B52="","",ROW()-6)</x:f>
      </x:c>
      <x:c r="B52" s="102"/>
      <x:c r="C52" s="98" t="str">
        <x:f>IF(B52="","",TEXT(B52,"yyyy/mm"))</x:f>
      </x:c>
      <x:c r="D52" s="100"/>
      <x:c r="E52" s="100"/>
      <x:c r="F52" s="100"/>
      <x:c r="G52" s="104"/>
      <x:c r="H52" s="100"/>
      <x:c r="I52" s="100"/>
      <x:c r="J52" s="104"/>
      <x:c r="K52" s="100"/>
      <x:c r="L52" s="100"/>
      <x:c r="M52" s="100"/>
      <x:c r="N52" s="100"/>
    </x:row>
    <x:row r="53">
      <x:c r="A53" s="98" t="str">
        <x:f>IF(B53="","",ROW()-6)</x:f>
      </x:c>
      <x:c r="B53" s="102"/>
      <x:c r="C53" s="98" t="str">
        <x:f>IF(B53="","",TEXT(B53,"yyyy/mm"))</x:f>
      </x:c>
      <x:c r="D53" s="100"/>
      <x:c r="E53" s="100"/>
      <x:c r="F53" s="100"/>
      <x:c r="G53" s="104"/>
      <x:c r="H53" s="100"/>
      <x:c r="I53" s="100"/>
      <x:c r="J53" s="104"/>
      <x:c r="K53" s="100"/>
      <x:c r="L53" s="100"/>
      <x:c r="M53" s="100"/>
      <x:c r="N53" s="100"/>
    </x:row>
    <x:row r="54">
      <x:c r="A54" s="98" t="str">
        <x:f>IF(B54="","",ROW()-6)</x:f>
      </x:c>
      <x:c r="B54" s="102"/>
      <x:c r="C54" s="98" t="str">
        <x:f>IF(B54="","",TEXT(B54,"yyyy/mm"))</x:f>
      </x:c>
      <x:c r="D54" s="100"/>
      <x:c r="E54" s="100"/>
      <x:c r="F54" s="100"/>
      <x:c r="G54" s="104"/>
      <x:c r="H54" s="100"/>
      <x:c r="I54" s="100"/>
      <x:c r="J54" s="104"/>
      <x:c r="K54" s="100"/>
      <x:c r="L54" s="100"/>
      <x:c r="M54" s="100"/>
      <x:c r="N54" s="100"/>
    </x:row>
    <x:row r="55">
      <x:c r="A55" s="98" t="str">
        <x:f>IF(B55="","",ROW()-6)</x:f>
      </x:c>
      <x:c r="B55" s="102"/>
      <x:c r="C55" s="98" t="str">
        <x:f>IF(B55="","",TEXT(B55,"yyyy/mm"))</x:f>
      </x:c>
      <x:c r="D55" s="100"/>
      <x:c r="E55" s="100"/>
      <x:c r="F55" s="100"/>
      <x:c r="G55" s="104"/>
      <x:c r="H55" s="100"/>
      <x:c r="I55" s="100"/>
      <x:c r="J55" s="104"/>
      <x:c r="K55" s="100"/>
      <x:c r="L55" s="100"/>
      <x:c r="M55" s="100"/>
      <x:c r="N55" s="100"/>
    </x:row>
    <x:row r="56">
      <x:c r="A56" s="98" t="str">
        <x:f>IF(B56="","",ROW()-6)</x:f>
      </x:c>
      <x:c r="B56" s="102"/>
      <x:c r="C56" s="98" t="str">
        <x:f>IF(B56="","",TEXT(B56,"yyyy/mm"))</x:f>
      </x:c>
      <x:c r="D56" s="100"/>
      <x:c r="E56" s="100"/>
      <x:c r="F56" s="100"/>
      <x:c r="G56" s="104"/>
      <x:c r="H56" s="100"/>
      <x:c r="I56" s="100"/>
      <x:c r="J56" s="104"/>
      <x:c r="K56" s="100"/>
      <x:c r="L56" s="100"/>
      <x:c r="M56" s="100"/>
      <x:c r="N56" s="100"/>
    </x:row>
    <x:row r="57">
      <x:c r="A57" s="98" t="str">
        <x:f>IF(B57="","",ROW()-6)</x:f>
      </x:c>
      <x:c r="B57" s="102"/>
      <x:c r="C57" s="98" t="str">
        <x:f>IF(B57="","",TEXT(B57,"yyyy/mm"))</x:f>
      </x:c>
      <x:c r="D57" s="100"/>
      <x:c r="E57" s="100"/>
      <x:c r="F57" s="100"/>
      <x:c r="G57" s="104"/>
      <x:c r="H57" s="100"/>
      <x:c r="I57" s="100"/>
      <x:c r="J57" s="104"/>
      <x:c r="K57" s="100"/>
      <x:c r="L57" s="100"/>
      <x:c r="M57" s="100"/>
      <x:c r="N57" s="100"/>
    </x:row>
    <x:row r="58">
      <x:c r="A58" s="98" t="str">
        <x:f>IF(B58="","",ROW()-6)</x:f>
      </x:c>
      <x:c r="B58" s="102"/>
      <x:c r="C58" s="98" t="str">
        <x:f>IF(B58="","",TEXT(B58,"yyyy/mm"))</x:f>
      </x:c>
      <x:c r="D58" s="100"/>
      <x:c r="E58" s="100"/>
      <x:c r="F58" s="100"/>
      <x:c r="G58" s="104"/>
      <x:c r="H58" s="100"/>
      <x:c r="I58" s="100"/>
      <x:c r="J58" s="104"/>
      <x:c r="K58" s="100"/>
      <x:c r="L58" s="100"/>
      <x:c r="M58" s="100"/>
      <x:c r="N58" s="100"/>
    </x:row>
    <x:row r="59">
      <x:c r="A59" s="98" t="str">
        <x:f>IF(B59="","",ROW()-6)</x:f>
      </x:c>
      <x:c r="B59" s="102"/>
      <x:c r="C59" s="98" t="str">
        <x:f>IF(B59="","",TEXT(B59,"yyyy/mm"))</x:f>
      </x:c>
      <x:c r="D59" s="100"/>
      <x:c r="E59" s="100"/>
      <x:c r="F59" s="100"/>
      <x:c r="G59" s="104"/>
      <x:c r="H59" s="100"/>
      <x:c r="I59" s="100"/>
      <x:c r="J59" s="104"/>
      <x:c r="K59" s="100"/>
      <x:c r="L59" s="100"/>
      <x:c r="M59" s="100"/>
      <x:c r="N59" s="100"/>
    </x:row>
    <x:row r="60">
      <x:c r="A60" s="98" t="str">
        <x:f>IF(B60="","",ROW()-6)</x:f>
      </x:c>
      <x:c r="B60" s="102"/>
      <x:c r="C60" s="98" t="str">
        <x:f>IF(B60="","",TEXT(B60,"yyyy/mm"))</x:f>
      </x:c>
      <x:c r="D60" s="100"/>
      <x:c r="E60" s="100"/>
      <x:c r="F60" s="100"/>
      <x:c r="G60" s="104"/>
      <x:c r="H60" s="100"/>
      <x:c r="I60" s="100"/>
      <x:c r="J60" s="104"/>
      <x:c r="K60" s="100"/>
      <x:c r="L60" s="100"/>
      <x:c r="M60" s="100"/>
      <x:c r="N60" s="100"/>
    </x:row>
    <x:row r="61">
      <x:c r="A61" s="98" t="str">
        <x:f>IF(B61="","",ROW()-6)</x:f>
      </x:c>
      <x:c r="B61" s="102"/>
      <x:c r="C61" s="98" t="str">
        <x:f>IF(B61="","",TEXT(B61,"yyyy/mm"))</x:f>
      </x:c>
      <x:c r="D61" s="100"/>
      <x:c r="E61" s="100"/>
      <x:c r="F61" s="100"/>
      <x:c r="G61" s="104"/>
      <x:c r="H61" s="100"/>
      <x:c r="I61" s="100"/>
      <x:c r="J61" s="104"/>
      <x:c r="K61" s="100"/>
      <x:c r="L61" s="100"/>
      <x:c r="M61" s="100"/>
      <x:c r="N61" s="100"/>
    </x:row>
    <x:row r="62">
      <x:c r="A62" s="98" t="str">
        <x:f>IF(B62="","",ROW()-6)</x:f>
      </x:c>
      <x:c r="B62" s="102"/>
      <x:c r="C62" s="98" t="str">
        <x:f>IF(B62="","",TEXT(B62,"yyyy/mm"))</x:f>
      </x:c>
      <x:c r="D62" s="100"/>
      <x:c r="E62" s="100"/>
      <x:c r="F62" s="100"/>
      <x:c r="G62" s="104"/>
      <x:c r="H62" s="100"/>
      <x:c r="I62" s="100"/>
      <x:c r="J62" s="104"/>
      <x:c r="K62" s="100"/>
      <x:c r="L62" s="100"/>
      <x:c r="M62" s="100"/>
      <x:c r="N62" s="100"/>
    </x:row>
    <x:row r="63">
      <x:c r="A63" s="98" t="str">
        <x:f>IF(B63="","",ROW()-6)</x:f>
      </x:c>
      <x:c r="B63" s="102"/>
      <x:c r="C63" s="98" t="str">
        <x:f>IF(B63="","",TEXT(B63,"yyyy/mm"))</x:f>
      </x:c>
      <x:c r="D63" s="100"/>
      <x:c r="E63" s="100"/>
      <x:c r="F63" s="100"/>
      <x:c r="G63" s="104"/>
      <x:c r="H63" s="100"/>
      <x:c r="I63" s="100"/>
      <x:c r="J63" s="104"/>
      <x:c r="K63" s="100"/>
      <x:c r="L63" s="100"/>
      <x:c r="M63" s="100"/>
      <x:c r="N63" s="100"/>
    </x:row>
    <x:row r="64">
      <x:c r="A64" s="98" t="str">
        <x:f>IF(B64="","",ROW()-6)</x:f>
      </x:c>
      <x:c r="B64" s="102"/>
      <x:c r="C64" s="98" t="str">
        <x:f>IF(B64="","",TEXT(B64,"yyyy/mm"))</x:f>
      </x:c>
      <x:c r="D64" s="100"/>
      <x:c r="E64" s="100"/>
      <x:c r="F64" s="100"/>
      <x:c r="G64" s="104"/>
      <x:c r="H64" s="100"/>
      <x:c r="I64" s="100"/>
      <x:c r="J64" s="104"/>
      <x:c r="K64" s="100"/>
      <x:c r="L64" s="100"/>
      <x:c r="M64" s="100"/>
      <x:c r="N64" s="100"/>
    </x:row>
    <x:row r="65">
      <x:c r="A65" s="98" t="str">
        <x:f>IF(B65="","",ROW()-6)</x:f>
      </x:c>
      <x:c r="B65" s="102"/>
      <x:c r="C65" s="98" t="str">
        <x:f>IF(B65="","",TEXT(B65,"yyyy/mm"))</x:f>
      </x:c>
      <x:c r="D65" s="100"/>
      <x:c r="E65" s="100"/>
      <x:c r="F65" s="100"/>
      <x:c r="G65" s="104"/>
      <x:c r="H65" s="100"/>
      <x:c r="I65" s="100"/>
      <x:c r="J65" s="104"/>
      <x:c r="K65" s="100"/>
      <x:c r="L65" s="100"/>
      <x:c r="M65" s="100"/>
      <x:c r="N65" s="100"/>
    </x:row>
    <x:row r="66">
      <x:c r="A66" s="98" t="str">
        <x:f>IF(B66="","",ROW()-6)</x:f>
      </x:c>
      <x:c r="B66" s="102"/>
      <x:c r="C66" s="98" t="str">
        <x:f>IF(B66="","",TEXT(B66,"yyyy/mm"))</x:f>
      </x:c>
      <x:c r="D66" s="100"/>
      <x:c r="E66" s="100"/>
      <x:c r="F66" s="100"/>
      <x:c r="G66" s="104"/>
      <x:c r="H66" s="100"/>
      <x:c r="I66" s="100"/>
      <x:c r="J66" s="104"/>
      <x:c r="K66" s="100"/>
      <x:c r="L66" s="100"/>
      <x:c r="M66" s="100"/>
      <x:c r="N66" s="100"/>
    </x:row>
    <x:row r="67">
      <x:c r="A67" s="98" t="str">
        <x:f>IF(B67="","",ROW()-6)</x:f>
      </x:c>
      <x:c r="B67" s="102"/>
      <x:c r="C67" s="98" t="str">
        <x:f>IF(B67="","",TEXT(B67,"yyyy/mm"))</x:f>
      </x:c>
      <x:c r="D67" s="100"/>
      <x:c r="E67" s="100"/>
      <x:c r="F67" s="100"/>
      <x:c r="G67" s="104"/>
      <x:c r="H67" s="100"/>
      <x:c r="I67" s="100"/>
      <x:c r="J67" s="104"/>
      <x:c r="K67" s="100"/>
      <x:c r="L67" s="100"/>
      <x:c r="M67" s="100"/>
      <x:c r="N67" s="100"/>
    </x:row>
    <x:row r="68">
      <x:c r="A68" s="98" t="str">
        <x:f>IF(B68="","",ROW()-6)</x:f>
      </x:c>
      <x:c r="B68" s="102"/>
      <x:c r="C68" s="98" t="str">
        <x:f>IF(B68="","",TEXT(B68,"yyyy/mm"))</x:f>
      </x:c>
      <x:c r="D68" s="100"/>
      <x:c r="E68" s="100"/>
      <x:c r="F68" s="100"/>
      <x:c r="G68" s="104"/>
      <x:c r="H68" s="100"/>
      <x:c r="I68" s="100"/>
      <x:c r="J68" s="104"/>
      <x:c r="K68" s="100"/>
      <x:c r="L68" s="100"/>
      <x:c r="M68" s="100"/>
      <x:c r="N68" s="100"/>
    </x:row>
    <x:row r="69">
      <x:c r="A69" s="98" t="str">
        <x:f>IF(B69="","",ROW()-6)</x:f>
      </x:c>
      <x:c r="B69" s="102"/>
      <x:c r="C69" s="98" t="str">
        <x:f>IF(B69="","",TEXT(B69,"yyyy/mm"))</x:f>
      </x:c>
      <x:c r="D69" s="100"/>
      <x:c r="E69" s="100"/>
      <x:c r="F69" s="100"/>
      <x:c r="G69" s="104"/>
      <x:c r="H69" s="100"/>
      <x:c r="I69" s="100"/>
      <x:c r="J69" s="104"/>
      <x:c r="K69" s="100"/>
      <x:c r="L69" s="100"/>
      <x:c r="M69" s="100"/>
      <x:c r="N69" s="100"/>
    </x:row>
    <x:row r="70">
      <x:c r="A70" s="98" t="str">
        <x:f>IF(B70="","",ROW()-6)</x:f>
      </x:c>
      <x:c r="B70" s="102"/>
      <x:c r="C70" s="98" t="str">
        <x:f>IF(B70="","",TEXT(B70,"yyyy/mm"))</x:f>
      </x:c>
      <x:c r="D70" s="100"/>
      <x:c r="E70" s="100"/>
      <x:c r="F70" s="100"/>
      <x:c r="G70" s="104"/>
      <x:c r="H70" s="100"/>
      <x:c r="I70" s="100"/>
      <x:c r="J70" s="104"/>
      <x:c r="K70" s="100"/>
      <x:c r="L70" s="100"/>
      <x:c r="M70" s="100"/>
      <x:c r="N70" s="100"/>
    </x:row>
    <x:row r="71">
      <x:c r="A71" s="98" t="str">
        <x:f>IF(B71="","",ROW()-6)</x:f>
      </x:c>
      <x:c r="B71" s="102"/>
      <x:c r="C71" s="98" t="str">
        <x:f>IF(B71="","",TEXT(B71,"yyyy/mm"))</x:f>
      </x:c>
      <x:c r="D71" s="100"/>
      <x:c r="E71" s="100"/>
      <x:c r="F71" s="100"/>
      <x:c r="G71" s="104"/>
      <x:c r="H71" s="100"/>
      <x:c r="I71" s="100"/>
      <x:c r="J71" s="104"/>
      <x:c r="K71" s="100"/>
      <x:c r="L71" s="100"/>
      <x:c r="M71" s="100"/>
      <x:c r="N71" s="100"/>
    </x:row>
    <x:row r="72">
      <x:c r="A72" s="98" t="str">
        <x:f>IF(B72="","",ROW()-6)</x:f>
      </x:c>
      <x:c r="B72" s="102"/>
      <x:c r="C72" s="98" t="str">
        <x:f>IF(B72="","",TEXT(B72,"yyyy/mm"))</x:f>
      </x:c>
      <x:c r="D72" s="100"/>
      <x:c r="E72" s="100"/>
      <x:c r="F72" s="100"/>
      <x:c r="G72" s="104"/>
      <x:c r="H72" s="100"/>
      <x:c r="I72" s="100"/>
      <x:c r="J72" s="104"/>
      <x:c r="K72" s="100"/>
      <x:c r="L72" s="100"/>
      <x:c r="M72" s="100"/>
      <x:c r="N72" s="100"/>
    </x:row>
    <x:row r="73">
      <x:c r="A73" s="98" t="str">
        <x:f>IF(B73="","",ROW()-6)</x:f>
      </x:c>
      <x:c r="B73" s="102"/>
      <x:c r="C73" s="98" t="str">
        <x:f>IF(B73="","",TEXT(B73,"yyyy/mm"))</x:f>
      </x:c>
      <x:c r="D73" s="100"/>
      <x:c r="E73" s="100"/>
      <x:c r="F73" s="100"/>
      <x:c r="G73" s="104"/>
      <x:c r="H73" s="100"/>
      <x:c r="I73" s="100"/>
      <x:c r="J73" s="104"/>
      <x:c r="K73" s="100"/>
      <x:c r="L73" s="100"/>
      <x:c r="M73" s="100"/>
      <x:c r="N73" s="100"/>
    </x:row>
    <x:row r="74">
      <x:c r="A74" s="98" t="str">
        <x:f>IF(B74="","",ROW()-6)</x:f>
      </x:c>
      <x:c r="B74" s="102"/>
      <x:c r="C74" s="98" t="str">
        <x:f>IF(B74="","",TEXT(B74,"yyyy/mm"))</x:f>
      </x:c>
      <x:c r="D74" s="100"/>
      <x:c r="E74" s="100"/>
      <x:c r="F74" s="100"/>
      <x:c r="G74" s="104"/>
      <x:c r="H74" s="100"/>
      <x:c r="I74" s="100"/>
      <x:c r="J74" s="104"/>
      <x:c r="K74" s="100"/>
      <x:c r="L74" s="100"/>
      <x:c r="M74" s="100"/>
      <x:c r="N74" s="100"/>
    </x:row>
    <x:row r="75">
      <x:c r="A75" s="98" t="str">
        <x:f>IF(B75="","",ROW()-6)</x:f>
      </x:c>
      <x:c r="B75" s="102"/>
      <x:c r="C75" s="98" t="str">
        <x:f>IF(B75="","",TEXT(B75,"yyyy/mm"))</x:f>
      </x:c>
      <x:c r="D75" s="100"/>
      <x:c r="E75" s="100"/>
      <x:c r="F75" s="100"/>
      <x:c r="G75" s="104"/>
      <x:c r="H75" s="100"/>
      <x:c r="I75" s="100"/>
      <x:c r="J75" s="104"/>
      <x:c r="K75" s="100"/>
      <x:c r="L75" s="100"/>
      <x:c r="M75" s="100"/>
      <x:c r="N75" s="100"/>
    </x:row>
    <x:row r="76">
      <x:c r="A76" s="98" t="str">
        <x:f>IF(B76="","",ROW()-6)</x:f>
      </x:c>
      <x:c r="B76" s="102"/>
      <x:c r="C76" s="98" t="str">
        <x:f>IF(B76="","",TEXT(B76,"yyyy/mm"))</x:f>
      </x:c>
      <x:c r="D76" s="100"/>
      <x:c r="E76" s="100"/>
      <x:c r="F76" s="100"/>
      <x:c r="G76" s="104"/>
      <x:c r="H76" s="100"/>
      <x:c r="I76" s="100"/>
      <x:c r="J76" s="104"/>
      <x:c r="K76" s="100"/>
      <x:c r="L76" s="100"/>
      <x:c r="M76" s="100"/>
      <x:c r="N76" s="100"/>
    </x:row>
    <x:row r="77">
      <x:c r="A77" s="98" t="str">
        <x:f>IF(B77="","",ROW()-6)</x:f>
      </x:c>
      <x:c r="B77" s="102"/>
      <x:c r="C77" s="98" t="str">
        <x:f>IF(B77="","",TEXT(B77,"yyyy/mm"))</x:f>
      </x:c>
      <x:c r="D77" s="100"/>
      <x:c r="E77" s="100"/>
      <x:c r="F77" s="100"/>
      <x:c r="G77" s="104"/>
      <x:c r="H77" s="100"/>
      <x:c r="I77" s="100"/>
      <x:c r="J77" s="104"/>
      <x:c r="K77" s="100"/>
      <x:c r="L77" s="100"/>
      <x:c r="M77" s="100"/>
      <x:c r="N77" s="100"/>
    </x:row>
    <x:row r="78">
      <x:c r="A78" s="98" t="str">
        <x:f>IF(B78="","",ROW()-6)</x:f>
      </x:c>
      <x:c r="B78" s="102"/>
      <x:c r="C78" s="98" t="str">
        <x:f>IF(B78="","",TEXT(B78,"yyyy/mm"))</x:f>
      </x:c>
      <x:c r="D78" s="100"/>
      <x:c r="E78" s="100"/>
      <x:c r="F78" s="100"/>
      <x:c r="G78" s="104"/>
      <x:c r="H78" s="100"/>
      <x:c r="I78" s="100"/>
      <x:c r="J78" s="104"/>
      <x:c r="K78" s="100"/>
      <x:c r="L78" s="100"/>
      <x:c r="M78" s="100"/>
      <x:c r="N78" s="100"/>
    </x:row>
    <x:row r="79">
      <x:c r="A79" s="98" t="str">
        <x:f>IF(B79="","",ROW()-6)</x:f>
      </x:c>
      <x:c r="B79" s="102"/>
      <x:c r="C79" s="98" t="str">
        <x:f>IF(B79="","",TEXT(B79,"yyyy/mm"))</x:f>
      </x:c>
      <x:c r="D79" s="100"/>
      <x:c r="E79" s="100"/>
      <x:c r="F79" s="100"/>
      <x:c r="G79" s="104"/>
      <x:c r="H79" s="100"/>
      <x:c r="I79" s="100"/>
      <x:c r="J79" s="104"/>
      <x:c r="K79" s="100"/>
      <x:c r="L79" s="100"/>
      <x:c r="M79" s="100"/>
      <x:c r="N79" s="100"/>
    </x:row>
    <x:row r="80">
      <x:c r="A80" s="98" t="str">
        <x:f>IF(B80="","",ROW()-6)</x:f>
      </x:c>
      <x:c r="B80" s="102"/>
      <x:c r="C80" s="98" t="str">
        <x:f>IF(B80="","",TEXT(B80,"yyyy/mm"))</x:f>
      </x:c>
      <x:c r="D80" s="100"/>
      <x:c r="E80" s="100"/>
      <x:c r="F80" s="100"/>
      <x:c r="G80" s="104"/>
      <x:c r="H80" s="100"/>
      <x:c r="I80" s="100"/>
      <x:c r="J80" s="104"/>
      <x:c r="K80" s="100"/>
      <x:c r="L80" s="100"/>
      <x:c r="M80" s="100"/>
      <x:c r="N80" s="100"/>
    </x:row>
    <x:row r="81">
      <x:c r="A81" s="98" t="str">
        <x:f>IF(B81="","",ROW()-6)</x:f>
      </x:c>
      <x:c r="B81" s="102"/>
      <x:c r="C81" s="98" t="str">
        <x:f>IF(B81="","",TEXT(B81,"yyyy/mm"))</x:f>
      </x:c>
      <x:c r="D81" s="100"/>
      <x:c r="E81" s="100"/>
      <x:c r="F81" s="100"/>
      <x:c r="G81" s="104"/>
      <x:c r="H81" s="100"/>
      <x:c r="I81" s="100"/>
      <x:c r="J81" s="104"/>
      <x:c r="K81" s="100"/>
      <x:c r="L81" s="100"/>
      <x:c r="M81" s="100"/>
      <x:c r="N81" s="100"/>
    </x:row>
    <x:row r="82">
      <x:c r="A82" s="98" t="str">
        <x:f>IF(B82="","",ROW()-6)</x:f>
      </x:c>
      <x:c r="B82" s="102"/>
      <x:c r="C82" s="98" t="str">
        <x:f>IF(B82="","",TEXT(B82,"yyyy/mm"))</x:f>
      </x:c>
      <x:c r="D82" s="100"/>
      <x:c r="E82" s="100"/>
      <x:c r="F82" s="100"/>
      <x:c r="G82" s="104"/>
      <x:c r="H82" s="100"/>
      <x:c r="I82" s="100"/>
      <x:c r="J82" s="104"/>
      <x:c r="K82" s="100"/>
      <x:c r="L82" s="100"/>
      <x:c r="M82" s="100"/>
      <x:c r="N82" s="100"/>
    </x:row>
    <x:row r="83">
      <x:c r="A83" s="98" t="str">
        <x:f>IF(B83="","",ROW()-6)</x:f>
      </x:c>
      <x:c r="B83" s="102"/>
      <x:c r="C83" s="98" t="str">
        <x:f>IF(B83="","",TEXT(B83,"yyyy/mm"))</x:f>
      </x:c>
      <x:c r="D83" s="100"/>
      <x:c r="E83" s="100"/>
      <x:c r="F83" s="100"/>
      <x:c r="G83" s="104"/>
      <x:c r="H83" s="100"/>
      <x:c r="I83" s="100"/>
      <x:c r="J83" s="104"/>
      <x:c r="K83" s="100"/>
      <x:c r="L83" s="100"/>
      <x:c r="M83" s="100"/>
      <x:c r="N83" s="100"/>
    </x:row>
    <x:row r="84">
      <x:c r="A84" s="98" t="str">
        <x:f>IF(B84="","",ROW()-6)</x:f>
      </x:c>
      <x:c r="B84" s="102"/>
      <x:c r="C84" s="98" t="str">
        <x:f>IF(B84="","",TEXT(B84,"yyyy/mm"))</x:f>
      </x:c>
      <x:c r="D84" s="100"/>
      <x:c r="E84" s="100"/>
      <x:c r="F84" s="100"/>
      <x:c r="G84" s="104"/>
      <x:c r="H84" s="100"/>
      <x:c r="I84" s="100"/>
      <x:c r="J84" s="104"/>
      <x:c r="K84" s="100"/>
      <x:c r="L84" s="100"/>
      <x:c r="M84" s="100"/>
      <x:c r="N84" s="100"/>
    </x:row>
    <x:row r="85">
      <x:c r="A85" s="98" t="str">
        <x:f>IF(B85="","",ROW()-6)</x:f>
      </x:c>
      <x:c r="B85" s="102"/>
      <x:c r="C85" s="98" t="str">
        <x:f>IF(B85="","",TEXT(B85,"yyyy/mm"))</x:f>
      </x:c>
      <x:c r="D85" s="100"/>
      <x:c r="E85" s="100"/>
      <x:c r="F85" s="100"/>
      <x:c r="G85" s="104"/>
      <x:c r="H85" s="100"/>
      <x:c r="I85" s="100"/>
      <x:c r="J85" s="104"/>
      <x:c r="K85" s="100"/>
      <x:c r="L85" s="100"/>
      <x:c r="M85" s="100"/>
      <x:c r="N85" s="100"/>
    </x:row>
    <x:row r="86">
      <x:c r="A86" s="98" t="str">
        <x:f>IF(B86="","",ROW()-6)</x:f>
      </x:c>
      <x:c r="B86" s="102"/>
      <x:c r="C86" s="98" t="str">
        <x:f>IF(B86="","",TEXT(B86,"yyyy/mm"))</x:f>
      </x:c>
      <x:c r="D86" s="100"/>
      <x:c r="E86" s="100"/>
      <x:c r="F86" s="100"/>
      <x:c r="G86" s="104"/>
      <x:c r="H86" s="100"/>
      <x:c r="I86" s="100"/>
      <x:c r="J86" s="104"/>
      <x:c r="K86" s="100"/>
      <x:c r="L86" s="100"/>
      <x:c r="M86" s="100"/>
      <x:c r="N86" s="100"/>
    </x:row>
    <x:row r="87">
      <x:c r="A87" s="98" t="str">
        <x:f>IF(B87="","",ROW()-6)</x:f>
      </x:c>
      <x:c r="B87" s="102"/>
      <x:c r="C87" s="98" t="str">
        <x:f>IF(B87="","",TEXT(B87,"yyyy/mm"))</x:f>
      </x:c>
      <x:c r="D87" s="100"/>
      <x:c r="E87" s="100"/>
      <x:c r="F87" s="100"/>
      <x:c r="G87" s="104"/>
      <x:c r="H87" s="100"/>
      <x:c r="I87" s="100"/>
      <x:c r="J87" s="104"/>
      <x:c r="K87" s="100"/>
      <x:c r="L87" s="100"/>
      <x:c r="M87" s="100"/>
      <x:c r="N87" s="100"/>
    </x:row>
    <x:row r="88">
      <x:c r="A88" s="98" t="str">
        <x:f>IF(B88="","",ROW()-6)</x:f>
      </x:c>
      <x:c r="B88" s="102"/>
      <x:c r="C88" s="98" t="str">
        <x:f>IF(B88="","",TEXT(B88,"yyyy/mm"))</x:f>
      </x:c>
      <x:c r="D88" s="100"/>
      <x:c r="E88" s="100"/>
      <x:c r="F88" s="100"/>
      <x:c r="G88" s="104"/>
      <x:c r="H88" s="100"/>
      <x:c r="I88" s="100"/>
      <x:c r="J88" s="104"/>
      <x:c r="K88" s="100"/>
      <x:c r="L88" s="100"/>
      <x:c r="M88" s="100"/>
      <x:c r="N88" s="100"/>
    </x:row>
    <x:row r="89">
      <x:c r="A89" s="98" t="str">
        <x:f>IF(B89="","",ROW()-6)</x:f>
      </x:c>
      <x:c r="B89" s="102"/>
      <x:c r="C89" s="98" t="str">
        <x:f>IF(B89="","",TEXT(B89,"yyyy/mm"))</x:f>
      </x:c>
      <x:c r="D89" s="100"/>
      <x:c r="E89" s="100"/>
      <x:c r="F89" s="100"/>
      <x:c r="G89" s="104"/>
      <x:c r="H89" s="100"/>
      <x:c r="I89" s="100"/>
      <x:c r="J89" s="104"/>
      <x:c r="K89" s="100"/>
      <x:c r="L89" s="100"/>
      <x:c r="M89" s="100"/>
      <x:c r="N89" s="100"/>
    </x:row>
    <x:row r="90">
      <x:c r="A90" s="98" t="str">
        <x:f>IF(B90="","",ROW()-6)</x:f>
      </x:c>
      <x:c r="B90" s="102"/>
      <x:c r="C90" s="98" t="str">
        <x:f>IF(B90="","",TEXT(B90,"yyyy/mm"))</x:f>
      </x:c>
      <x:c r="D90" s="100"/>
      <x:c r="E90" s="100"/>
      <x:c r="F90" s="100"/>
      <x:c r="G90" s="104"/>
      <x:c r="H90" s="100"/>
      <x:c r="I90" s="100"/>
      <x:c r="J90" s="104"/>
      <x:c r="K90" s="100"/>
      <x:c r="L90" s="100"/>
      <x:c r="M90" s="100"/>
      <x:c r="N90" s="100"/>
    </x:row>
    <x:row r="91">
      <x:c r="A91" s="98" t="str">
        <x:f>IF(B91="","",ROW()-6)</x:f>
      </x:c>
      <x:c r="B91" s="102"/>
      <x:c r="C91" s="98" t="str">
        <x:f>IF(B91="","",TEXT(B91,"yyyy/mm"))</x:f>
      </x:c>
      <x:c r="D91" s="100"/>
      <x:c r="E91" s="100"/>
      <x:c r="F91" s="100"/>
      <x:c r="G91" s="104"/>
      <x:c r="H91" s="100"/>
      <x:c r="I91" s="100"/>
      <x:c r="J91" s="104"/>
      <x:c r="K91" s="100"/>
      <x:c r="L91" s="100"/>
      <x:c r="M91" s="100"/>
      <x:c r="N91" s="100"/>
    </x:row>
    <x:row r="92">
      <x:c r="A92" s="98" t="str">
        <x:f>IF(B92="","",ROW()-6)</x:f>
      </x:c>
      <x:c r="B92" s="102"/>
      <x:c r="C92" s="98" t="str">
        <x:f>IF(B92="","",TEXT(B92,"yyyy/mm"))</x:f>
      </x:c>
      <x:c r="D92" s="100"/>
      <x:c r="E92" s="100"/>
      <x:c r="F92" s="100"/>
      <x:c r="G92" s="104"/>
      <x:c r="H92" s="100"/>
      <x:c r="I92" s="100"/>
      <x:c r="J92" s="104"/>
      <x:c r="K92" s="100"/>
      <x:c r="L92" s="100"/>
      <x:c r="M92" s="100"/>
      <x:c r="N92" s="100"/>
    </x:row>
    <x:row r="93">
      <x:c r="A93" s="98" t="str">
        <x:f>IF(B93="","",ROW()-6)</x:f>
      </x:c>
      <x:c r="B93" s="102"/>
      <x:c r="C93" s="98" t="str">
        <x:f>IF(B93="","",TEXT(B93,"yyyy/mm"))</x:f>
      </x:c>
      <x:c r="D93" s="100"/>
      <x:c r="E93" s="100"/>
      <x:c r="F93" s="100"/>
      <x:c r="G93" s="104"/>
      <x:c r="H93" s="100"/>
      <x:c r="I93" s="100"/>
      <x:c r="J93" s="104"/>
      <x:c r="K93" s="100"/>
      <x:c r="L93" s="100"/>
      <x:c r="M93" s="100"/>
      <x:c r="N93" s="100"/>
    </x:row>
    <x:row r="94">
      <x:c r="A94" s="98" t="str">
        <x:f>IF(B94="","",ROW()-6)</x:f>
      </x:c>
      <x:c r="B94" s="102"/>
      <x:c r="C94" s="98" t="str">
        <x:f>IF(B94="","",TEXT(B94,"yyyy/mm"))</x:f>
      </x:c>
      <x:c r="D94" s="100"/>
      <x:c r="E94" s="100"/>
      <x:c r="F94" s="100"/>
      <x:c r="G94" s="104"/>
      <x:c r="H94" s="100"/>
      <x:c r="I94" s="100"/>
      <x:c r="J94" s="104"/>
      <x:c r="K94" s="100"/>
      <x:c r="L94" s="100"/>
      <x:c r="M94" s="100"/>
      <x:c r="N94" s="100"/>
    </x:row>
    <x:row r="95">
      <x:c r="A95" s="98" t="str">
        <x:f>IF(B95="","",ROW()-6)</x:f>
      </x:c>
      <x:c r="B95" s="102"/>
      <x:c r="C95" s="98" t="str">
        <x:f>IF(B95="","",TEXT(B95,"yyyy/mm"))</x:f>
      </x:c>
      <x:c r="D95" s="100"/>
      <x:c r="E95" s="100"/>
      <x:c r="F95" s="100"/>
      <x:c r="G95" s="104"/>
      <x:c r="H95" s="100"/>
      <x:c r="I95" s="100"/>
      <x:c r="J95" s="104"/>
      <x:c r="K95" s="100"/>
      <x:c r="L95" s="100"/>
      <x:c r="M95" s="100"/>
      <x:c r="N95" s="100"/>
    </x:row>
    <x:row r="96">
      <x:c r="A96" s="98" t="str">
        <x:f>IF(B96="","",ROW()-6)</x:f>
      </x:c>
      <x:c r="B96" s="102"/>
      <x:c r="C96" s="98" t="str">
        <x:f>IF(B96="","",TEXT(B96,"yyyy/mm"))</x:f>
      </x:c>
      <x:c r="D96" s="100"/>
      <x:c r="E96" s="100"/>
      <x:c r="F96" s="100"/>
      <x:c r="G96" s="104"/>
      <x:c r="H96" s="100"/>
      <x:c r="I96" s="100"/>
      <x:c r="J96" s="104"/>
      <x:c r="K96" s="100"/>
      <x:c r="L96" s="100"/>
      <x:c r="M96" s="100"/>
      <x:c r="N96" s="100"/>
    </x:row>
    <x:row r="97">
      <x:c r="A97" s="98" t="str">
        <x:f>IF(B97="","",ROW()-6)</x:f>
      </x:c>
      <x:c r="B97" s="102"/>
      <x:c r="C97" s="98" t="str">
        <x:f>IF(B97="","",TEXT(B97,"yyyy/mm"))</x:f>
      </x:c>
      <x:c r="D97" s="100"/>
      <x:c r="E97" s="100"/>
      <x:c r="F97" s="100"/>
      <x:c r="G97" s="104"/>
      <x:c r="H97" s="100"/>
      <x:c r="I97" s="100"/>
      <x:c r="J97" s="104"/>
      <x:c r="K97" s="100"/>
      <x:c r="L97" s="100"/>
      <x:c r="M97" s="100"/>
      <x:c r="N97" s="100"/>
    </x:row>
    <x:row r="98">
      <x:c r="A98" s="98" t="str">
        <x:f>IF(B98="","",ROW()-6)</x:f>
      </x:c>
      <x:c r="B98" s="102"/>
      <x:c r="C98" s="98" t="str">
        <x:f>IF(B98="","",TEXT(B98,"yyyy/mm"))</x:f>
      </x:c>
      <x:c r="D98" s="100"/>
      <x:c r="E98" s="100"/>
      <x:c r="F98" s="100"/>
      <x:c r="G98" s="104"/>
      <x:c r="H98" s="100"/>
      <x:c r="I98" s="100"/>
      <x:c r="J98" s="104"/>
      <x:c r="K98" s="100"/>
      <x:c r="L98" s="100"/>
      <x:c r="M98" s="100"/>
      <x:c r="N98" s="100"/>
    </x:row>
    <x:row r="99">
      <x:c r="A99" s="98" t="str">
        <x:f>IF(B99="","",ROW()-6)</x:f>
      </x:c>
      <x:c r="B99" s="102"/>
      <x:c r="C99" s="98" t="str">
        <x:f>IF(B99="","",TEXT(B99,"yyyy/mm"))</x:f>
      </x:c>
      <x:c r="D99" s="100"/>
      <x:c r="E99" s="100"/>
      <x:c r="F99" s="100"/>
      <x:c r="G99" s="104"/>
      <x:c r="H99" s="100"/>
      <x:c r="I99" s="100"/>
      <x:c r="J99" s="104"/>
      <x:c r="K99" s="100"/>
      <x:c r="L99" s="100"/>
      <x:c r="M99" s="100"/>
      <x:c r="N99" s="100"/>
    </x:row>
    <x:row r="100">
      <x:c r="A100" s="98" t="str">
        <x:f>IF(B100="","",ROW()-6)</x:f>
      </x:c>
      <x:c r="B100" s="102"/>
      <x:c r="C100" s="98" t="str">
        <x:f>IF(B100="","",TEXT(B100,"yyyy/mm"))</x:f>
      </x:c>
      <x:c r="D100" s="100"/>
      <x:c r="E100" s="100"/>
      <x:c r="F100" s="100"/>
      <x:c r="G100" s="104"/>
      <x:c r="H100" s="100"/>
      <x:c r="I100" s="100"/>
      <x:c r="J100" s="104"/>
      <x:c r="K100" s="100"/>
      <x:c r="L100" s="100"/>
      <x:c r="M100" s="100"/>
      <x:c r="N100" s="100"/>
    </x:row>
    <x:row r="101">
      <x:c r="A101" s="98" t="str">
        <x:f>IF(B101="","",ROW()-6)</x:f>
      </x:c>
      <x:c r="B101" s="102"/>
      <x:c r="C101" s="98" t="str">
        <x:f>IF(B101="","",TEXT(B101,"yyyy/mm"))</x:f>
      </x:c>
      <x:c r="D101" s="100"/>
      <x:c r="E101" s="100"/>
      <x:c r="F101" s="100"/>
      <x:c r="G101" s="104"/>
      <x:c r="H101" s="100"/>
      <x:c r="I101" s="100"/>
      <x:c r="J101" s="104"/>
      <x:c r="K101" s="100"/>
      <x:c r="L101" s="100"/>
      <x:c r="M101" s="100"/>
      <x:c r="N101" s="100"/>
    </x:row>
    <x:row r="102">
      <x:c r="A102" s="98" t="str">
        <x:f>IF(B102="","",ROW()-6)</x:f>
      </x:c>
      <x:c r="B102" s="102"/>
      <x:c r="C102" s="98" t="str">
        <x:f>IF(B102="","",TEXT(B102,"yyyy/mm"))</x:f>
      </x:c>
      <x:c r="D102" s="100"/>
      <x:c r="E102" s="100"/>
      <x:c r="F102" s="100"/>
      <x:c r="G102" s="104"/>
      <x:c r="H102" s="100"/>
      <x:c r="I102" s="100"/>
      <x:c r="J102" s="104"/>
      <x:c r="K102" s="100"/>
      <x:c r="L102" s="100"/>
      <x:c r="M102" s="100"/>
      <x:c r="N102" s="100"/>
    </x:row>
    <x:row r="103">
      <x:c r="A103" s="98" t="str">
        <x:f>IF(B103="","",ROW()-6)</x:f>
      </x:c>
      <x:c r="B103" s="102"/>
      <x:c r="C103" s="98" t="str">
        <x:f>IF(B103="","",TEXT(B103,"yyyy/mm"))</x:f>
      </x:c>
      <x:c r="D103" s="100"/>
      <x:c r="E103" s="100"/>
      <x:c r="F103" s="100"/>
      <x:c r="G103" s="104"/>
      <x:c r="H103" s="100"/>
      <x:c r="I103" s="100"/>
      <x:c r="J103" s="104"/>
      <x:c r="K103" s="100"/>
      <x:c r="L103" s="100"/>
      <x:c r="M103" s="100"/>
      <x:c r="N103" s="100"/>
    </x:row>
    <x:row r="104">
      <x:c r="A104" s="98" t="str">
        <x:f>IF(B104="","",ROW()-6)</x:f>
      </x:c>
      <x:c r="B104" s="102"/>
      <x:c r="C104" s="98" t="str">
        <x:f>IF(B104="","",TEXT(B104,"yyyy/mm"))</x:f>
      </x:c>
      <x:c r="D104" s="100"/>
      <x:c r="E104" s="100"/>
      <x:c r="F104" s="100"/>
      <x:c r="G104" s="104"/>
      <x:c r="H104" s="100"/>
      <x:c r="I104" s="100"/>
      <x:c r="J104" s="104"/>
      <x:c r="K104" s="100"/>
      <x:c r="L104" s="100"/>
      <x:c r="M104" s="100"/>
      <x:c r="N104" s="100"/>
    </x:row>
    <x:row r="105">
      <x:c r="A105" s="98" t="str">
        <x:f>IF(B105="","",ROW()-6)</x:f>
      </x:c>
      <x:c r="B105" s="102"/>
      <x:c r="C105" s="98" t="str">
        <x:f>IF(B105="","",TEXT(B105,"yyyy/mm"))</x:f>
      </x:c>
      <x:c r="D105" s="100"/>
      <x:c r="E105" s="100"/>
      <x:c r="F105" s="100"/>
      <x:c r="G105" s="104"/>
      <x:c r="H105" s="100"/>
      <x:c r="I105" s="100"/>
      <x:c r="J105" s="104"/>
      <x:c r="K105" s="100"/>
      <x:c r="L105" s="100"/>
      <x:c r="M105" s="100"/>
      <x:c r="N105" s="100"/>
    </x:row>
    <x:row r="106">
      <x:c r="A106" s="98" t="str">
        <x:f>IF(B106="","",ROW()-6)</x:f>
      </x:c>
      <x:c r="B106" s="102"/>
      <x:c r="C106" s="98" t="str">
        <x:f>IF(B106="","",TEXT(B106,"yyyy/mm"))</x:f>
      </x:c>
      <x:c r="D106" s="100"/>
      <x:c r="E106" s="100"/>
      <x:c r="F106" s="100"/>
      <x:c r="G106" s="104"/>
      <x:c r="H106" s="100"/>
      <x:c r="I106" s="100"/>
      <x:c r="J106" s="104"/>
      <x:c r="K106" s="100"/>
      <x:c r="L106" s="100"/>
      <x:c r="M106" s="100"/>
      <x:c r="N106" s="100"/>
    </x:row>
    <x:row r="107">
      <x:c r="A107" s="98" t="str">
        <x:f>IF(B107="","",ROW()-6)</x:f>
      </x:c>
      <x:c r="B107" s="102"/>
      <x:c r="C107" s="98" t="str">
        <x:f>IF(B107="","",TEXT(B107,"yyyy/mm"))</x:f>
      </x:c>
      <x:c r="D107" s="100"/>
      <x:c r="E107" s="100"/>
      <x:c r="F107" s="100"/>
      <x:c r="G107" s="104"/>
      <x:c r="H107" s="100"/>
      <x:c r="I107" s="100"/>
      <x:c r="J107" s="104"/>
      <x:c r="K107" s="100"/>
      <x:c r="L107" s="100"/>
      <x:c r="M107" s="100"/>
      <x:c r="N107" s="100"/>
    </x:row>
    <x:row r="108">
      <x:c r="A108" s="98" t="str">
        <x:f>IF(B108="","",ROW()-6)</x:f>
      </x:c>
      <x:c r="B108" s="102"/>
      <x:c r="C108" s="98" t="str">
        <x:f>IF(B108="","",TEXT(B108,"yyyy/mm"))</x:f>
      </x:c>
      <x:c r="D108" s="100"/>
      <x:c r="E108" s="100"/>
      <x:c r="F108" s="100"/>
      <x:c r="G108" s="104"/>
      <x:c r="H108" s="100"/>
      <x:c r="I108" s="100"/>
      <x:c r="J108" s="104"/>
      <x:c r="K108" s="100"/>
      <x:c r="L108" s="100"/>
      <x:c r="M108" s="100"/>
      <x:c r="N108" s="100"/>
    </x:row>
    <x:row r="109">
      <x:c r="A109" s="98" t="str">
        <x:f>IF(B109="","",ROW()-6)</x:f>
      </x:c>
      <x:c r="B109" s="102"/>
      <x:c r="C109" s="98" t="str">
        <x:f>IF(B109="","",TEXT(B109,"yyyy/mm"))</x:f>
      </x:c>
      <x:c r="D109" s="100"/>
      <x:c r="E109" s="100"/>
      <x:c r="F109" s="100"/>
      <x:c r="G109" s="104"/>
      <x:c r="H109" s="100"/>
      <x:c r="I109" s="100"/>
      <x:c r="J109" s="104"/>
      <x:c r="K109" s="100"/>
      <x:c r="L109" s="100"/>
      <x:c r="M109" s="100"/>
      <x:c r="N109" s="100"/>
    </x:row>
    <x:row r="110">
      <x:c r="A110" s="98" t="str">
        <x:f>IF(B110="","",ROW()-6)</x:f>
      </x:c>
      <x:c r="B110" s="102"/>
      <x:c r="C110" s="98" t="str">
        <x:f>IF(B110="","",TEXT(B110,"yyyy/mm"))</x:f>
      </x:c>
      <x:c r="D110" s="100"/>
      <x:c r="E110" s="100"/>
      <x:c r="F110" s="100"/>
      <x:c r="G110" s="104"/>
      <x:c r="H110" s="100"/>
      <x:c r="I110" s="100"/>
      <x:c r="J110" s="104"/>
      <x:c r="K110" s="100"/>
      <x:c r="L110" s="100"/>
      <x:c r="M110" s="100"/>
      <x:c r="N110" s="100"/>
    </x:row>
    <x:row r="111">
      <x:c r="A111" s="98" t="str">
        <x:f>IF(B111="","",ROW()-6)</x:f>
      </x:c>
      <x:c r="B111" s="102"/>
      <x:c r="C111" s="98" t="str">
        <x:f>IF(B111="","",TEXT(B111,"yyyy/mm"))</x:f>
      </x:c>
      <x:c r="D111" s="100"/>
      <x:c r="E111" s="100"/>
      <x:c r="F111" s="100"/>
      <x:c r="G111" s="104"/>
      <x:c r="H111" s="100"/>
      <x:c r="I111" s="100"/>
      <x:c r="J111" s="104"/>
      <x:c r="K111" s="100"/>
      <x:c r="L111" s="100"/>
      <x:c r="M111" s="100"/>
      <x:c r="N111" s="100"/>
    </x:row>
    <x:row r="112">
      <x:c r="A112" s="98" t="str">
        <x:f>IF(B112="","",ROW()-6)</x:f>
      </x:c>
      <x:c r="B112" s="102"/>
      <x:c r="C112" s="98" t="str">
        <x:f>IF(B112="","",TEXT(B112,"yyyy/mm"))</x:f>
      </x:c>
      <x:c r="D112" s="100"/>
      <x:c r="E112" s="100"/>
      <x:c r="F112" s="100"/>
      <x:c r="G112" s="104"/>
      <x:c r="H112" s="100"/>
      <x:c r="I112" s="100"/>
      <x:c r="J112" s="104"/>
      <x:c r="K112" s="100"/>
      <x:c r="L112" s="100"/>
      <x:c r="M112" s="100"/>
      <x:c r="N112" s="100"/>
    </x:row>
    <x:row r="113">
      <x:c r="A113" s="98" t="str">
        <x:f>IF(B113="","",ROW()-6)</x:f>
      </x:c>
      <x:c r="B113" s="102"/>
      <x:c r="C113" s="98" t="str">
        <x:f>IF(B113="","",TEXT(B113,"yyyy/mm"))</x:f>
      </x:c>
      <x:c r="D113" s="100"/>
      <x:c r="E113" s="100"/>
      <x:c r="F113" s="100"/>
      <x:c r="G113" s="104"/>
      <x:c r="H113" s="100"/>
      <x:c r="I113" s="100"/>
      <x:c r="J113" s="104"/>
      <x:c r="K113" s="100"/>
      <x:c r="L113" s="100"/>
      <x:c r="M113" s="100"/>
      <x:c r="N113" s="100"/>
    </x:row>
    <x:row r="114">
      <x:c r="A114" s="98" t="str">
        <x:f>IF(B114="","",ROW()-6)</x:f>
      </x:c>
      <x:c r="B114" s="102"/>
      <x:c r="C114" s="98" t="str">
        <x:f>IF(B114="","",TEXT(B114,"yyyy/mm"))</x:f>
      </x:c>
      <x:c r="D114" s="100"/>
      <x:c r="E114" s="100"/>
      <x:c r="F114" s="100"/>
      <x:c r="G114" s="104"/>
      <x:c r="H114" s="100"/>
      <x:c r="I114" s="100"/>
      <x:c r="J114" s="104"/>
      <x:c r="K114" s="100"/>
      <x:c r="L114" s="100"/>
      <x:c r="M114" s="100"/>
      <x:c r="N114" s="100"/>
    </x:row>
    <x:row r="115">
      <x:c r="A115" s="98" t="str">
        <x:f>IF(B115="","",ROW()-6)</x:f>
      </x:c>
      <x:c r="B115" s="102"/>
      <x:c r="C115" s="98" t="str">
        <x:f>IF(B115="","",TEXT(B115,"yyyy/mm"))</x:f>
      </x:c>
      <x:c r="D115" s="100"/>
      <x:c r="E115" s="100"/>
      <x:c r="F115" s="100"/>
      <x:c r="G115" s="104"/>
      <x:c r="H115" s="100"/>
      <x:c r="I115" s="100"/>
      <x:c r="J115" s="104"/>
      <x:c r="K115" s="100"/>
      <x:c r="L115" s="100"/>
      <x:c r="M115" s="100"/>
      <x:c r="N115" s="100"/>
    </x:row>
    <x:row r="116">
      <x:c r="A116" s="98" t="str">
        <x:f>IF(B116="","",ROW()-6)</x:f>
      </x:c>
      <x:c r="B116" s="102"/>
      <x:c r="C116" s="98" t="str">
        <x:f>IF(B116="","",TEXT(B116,"yyyy/mm"))</x:f>
      </x:c>
      <x:c r="D116" s="100"/>
      <x:c r="E116" s="100"/>
      <x:c r="F116" s="100"/>
      <x:c r="G116" s="104"/>
      <x:c r="H116" s="100"/>
      <x:c r="I116" s="100"/>
      <x:c r="J116" s="104"/>
      <x:c r="K116" s="100"/>
      <x:c r="L116" s="100"/>
      <x:c r="M116" s="100"/>
      <x:c r="N116" s="100"/>
    </x:row>
    <x:row r="117">
      <x:c r="A117" s="98" t="str">
        <x:f>IF(B117="","",ROW()-6)</x:f>
      </x:c>
      <x:c r="B117" s="102"/>
      <x:c r="C117" s="98" t="str">
        <x:f>IF(B117="","",TEXT(B117,"yyyy/mm"))</x:f>
      </x:c>
      <x:c r="D117" s="100"/>
      <x:c r="E117" s="100"/>
      <x:c r="F117" s="100"/>
      <x:c r="G117" s="104"/>
      <x:c r="H117" s="100"/>
      <x:c r="I117" s="100"/>
      <x:c r="J117" s="104"/>
      <x:c r="K117" s="100"/>
      <x:c r="L117" s="100"/>
      <x:c r="M117" s="100"/>
      <x:c r="N117" s="100"/>
    </x:row>
    <x:row r="118">
      <x:c r="A118" s="98" t="str">
        <x:f>IF(B118="","",ROW()-6)</x:f>
      </x:c>
      <x:c r="B118" s="102"/>
      <x:c r="C118" s="98" t="str">
        <x:f>IF(B118="","",TEXT(B118,"yyyy/mm"))</x:f>
      </x:c>
      <x:c r="D118" s="100"/>
      <x:c r="E118" s="100"/>
      <x:c r="F118" s="100"/>
      <x:c r="G118" s="104"/>
      <x:c r="H118" s="100"/>
      <x:c r="I118" s="100"/>
      <x:c r="J118" s="104"/>
      <x:c r="K118" s="100"/>
      <x:c r="L118" s="100"/>
      <x:c r="M118" s="100"/>
      <x:c r="N118" s="100"/>
    </x:row>
    <x:row r="119">
      <x:c r="A119" s="98" t="str">
        <x:f>IF(B119="","",ROW()-6)</x:f>
      </x:c>
      <x:c r="B119" s="102"/>
      <x:c r="C119" s="98" t="str">
        <x:f>IF(B119="","",TEXT(B119,"yyyy/mm"))</x:f>
      </x:c>
      <x:c r="D119" s="100"/>
      <x:c r="E119" s="100"/>
      <x:c r="F119" s="100"/>
      <x:c r="G119" s="104"/>
      <x:c r="H119" s="100"/>
      <x:c r="I119" s="100"/>
      <x:c r="J119" s="104"/>
      <x:c r="K119" s="100"/>
      <x:c r="L119" s="100"/>
      <x:c r="M119" s="100"/>
      <x:c r="N119" s="100"/>
    </x:row>
    <x:row r="120">
      <x:c r="A120" s="98" t="str">
        <x:f>IF(B120="","",ROW()-6)</x:f>
      </x:c>
      <x:c r="B120" s="102"/>
      <x:c r="C120" s="98" t="str">
        <x:f>IF(B120="","",TEXT(B120,"yyyy/mm"))</x:f>
      </x:c>
      <x:c r="D120" s="100"/>
      <x:c r="E120" s="100"/>
      <x:c r="F120" s="100"/>
      <x:c r="G120" s="104"/>
      <x:c r="H120" s="100"/>
      <x:c r="I120" s="100"/>
      <x:c r="J120" s="104"/>
      <x:c r="K120" s="100"/>
      <x:c r="L120" s="100"/>
      <x:c r="M120" s="100"/>
      <x:c r="N120" s="100"/>
    </x:row>
    <x:row r="121">
      <x:c r="A121" s="98" t="str">
        <x:f>IF(B121="","",ROW()-6)</x:f>
      </x:c>
      <x:c r="B121" s="102"/>
      <x:c r="C121" s="98" t="str">
        <x:f>IF(B121="","",TEXT(B121,"yyyy/mm"))</x:f>
      </x:c>
      <x:c r="D121" s="100"/>
      <x:c r="E121" s="100"/>
      <x:c r="F121" s="100"/>
      <x:c r="G121" s="104"/>
      <x:c r="H121" s="100"/>
      <x:c r="I121" s="100"/>
      <x:c r="J121" s="104"/>
      <x:c r="K121" s="100"/>
      <x:c r="L121" s="100"/>
      <x:c r="M121" s="100"/>
      <x:c r="N121" s="100"/>
    </x:row>
    <x:row r="122">
      <x:c r="A122" s="98" t="str">
        <x:f>IF(B122="","",ROW()-6)</x:f>
      </x:c>
      <x:c r="B122" s="102"/>
      <x:c r="C122" s="98" t="str">
        <x:f>IF(B122="","",TEXT(B122,"yyyy/mm"))</x:f>
      </x:c>
      <x:c r="D122" s="100"/>
      <x:c r="E122" s="100"/>
      <x:c r="F122" s="100"/>
      <x:c r="G122" s="104"/>
      <x:c r="H122" s="100"/>
      <x:c r="I122" s="100"/>
      <x:c r="J122" s="104"/>
      <x:c r="K122" s="100"/>
      <x:c r="L122" s="100"/>
      <x:c r="M122" s="100"/>
      <x:c r="N122" s="100"/>
    </x:row>
    <x:row r="123">
      <x:c r="A123" s="98" t="str">
        <x:f>IF(B123="","",ROW()-6)</x:f>
      </x:c>
      <x:c r="B123" s="102"/>
      <x:c r="C123" s="98" t="str">
        <x:f>IF(B123="","",TEXT(B123,"yyyy/mm"))</x:f>
      </x:c>
      <x:c r="D123" s="100"/>
      <x:c r="E123" s="100"/>
      <x:c r="F123" s="100"/>
      <x:c r="G123" s="104"/>
      <x:c r="H123" s="100"/>
      <x:c r="I123" s="100"/>
      <x:c r="J123" s="104"/>
      <x:c r="K123" s="100"/>
      <x:c r="L123" s="100"/>
      <x:c r="M123" s="100"/>
      <x:c r="N123" s="100"/>
    </x:row>
    <x:row r="124">
      <x:c r="A124" s="98" t="str">
        <x:f>IF(B124="","",ROW()-6)</x:f>
      </x:c>
      <x:c r="B124" s="102"/>
      <x:c r="C124" s="98" t="str">
        <x:f>IF(B124="","",TEXT(B124,"yyyy/mm"))</x:f>
      </x:c>
      <x:c r="D124" s="100"/>
      <x:c r="E124" s="100"/>
      <x:c r="F124" s="100"/>
      <x:c r="G124" s="104"/>
      <x:c r="H124" s="100"/>
      <x:c r="I124" s="100"/>
      <x:c r="J124" s="104"/>
      <x:c r="K124" s="100"/>
      <x:c r="L124" s="100"/>
      <x:c r="M124" s="100"/>
      <x:c r="N124" s="100"/>
    </x:row>
    <x:row r="125">
      <x:c r="A125" s="98" t="str">
        <x:f>IF(B125="","",ROW()-6)</x:f>
      </x:c>
      <x:c r="B125" s="102"/>
      <x:c r="C125" s="98" t="str">
        <x:f>IF(B125="","",TEXT(B125,"yyyy/mm"))</x:f>
      </x:c>
      <x:c r="D125" s="100"/>
      <x:c r="E125" s="100"/>
      <x:c r="F125" s="100"/>
      <x:c r="G125" s="104"/>
      <x:c r="H125" s="100"/>
      <x:c r="I125" s="100"/>
      <x:c r="J125" s="104"/>
      <x:c r="K125" s="100"/>
      <x:c r="L125" s="100"/>
      <x:c r="M125" s="100"/>
      <x:c r="N125" s="100"/>
    </x:row>
    <x:row r="126">
      <x:c r="A126" s="98" t="str">
        <x:f>IF(B126="","",ROW()-6)</x:f>
      </x:c>
      <x:c r="B126" s="102"/>
      <x:c r="C126" s="98" t="str">
        <x:f>IF(B126="","",TEXT(B126,"yyyy/mm"))</x:f>
      </x:c>
      <x:c r="D126" s="100"/>
      <x:c r="E126" s="100"/>
      <x:c r="F126" s="100"/>
      <x:c r="G126" s="104"/>
      <x:c r="H126" s="100"/>
      <x:c r="I126" s="100"/>
      <x:c r="J126" s="104"/>
      <x:c r="K126" s="100"/>
      <x:c r="L126" s="100"/>
      <x:c r="M126" s="100"/>
      <x:c r="N126" s="100"/>
    </x:row>
    <x:row r="127">
      <x:c r="A127" s="98" t="str">
        <x:f>IF(B127="","",ROW()-6)</x:f>
      </x:c>
      <x:c r="B127" s="102"/>
      <x:c r="C127" s="98" t="str">
        <x:f>IF(B127="","",TEXT(B127,"yyyy/mm"))</x:f>
      </x:c>
      <x:c r="D127" s="100"/>
      <x:c r="E127" s="100"/>
      <x:c r="F127" s="100"/>
      <x:c r="G127" s="104"/>
      <x:c r="H127" s="100"/>
      <x:c r="I127" s="100"/>
      <x:c r="J127" s="104"/>
      <x:c r="K127" s="100"/>
      <x:c r="L127" s="100"/>
      <x:c r="M127" s="100"/>
      <x:c r="N127" s="100"/>
    </x:row>
    <x:row r="128">
      <x:c r="A128" s="98" t="str">
        <x:f>IF(B128="","",ROW()-6)</x:f>
      </x:c>
      <x:c r="B128" s="102"/>
      <x:c r="C128" s="98" t="str">
        <x:f>IF(B128="","",TEXT(B128,"yyyy/mm"))</x:f>
      </x:c>
      <x:c r="D128" s="100"/>
      <x:c r="E128" s="100"/>
      <x:c r="F128" s="100"/>
      <x:c r="G128" s="104"/>
      <x:c r="H128" s="100"/>
      <x:c r="I128" s="100"/>
      <x:c r="J128" s="104"/>
      <x:c r="K128" s="100"/>
      <x:c r="L128" s="100"/>
      <x:c r="M128" s="100"/>
      <x:c r="N128" s="100"/>
    </x:row>
    <x:row r="129">
      <x:c r="A129" s="98" t="str">
        <x:f>IF(B129="","",ROW()-6)</x:f>
      </x:c>
      <x:c r="B129" s="102"/>
      <x:c r="C129" s="98" t="str">
        <x:f>IF(B129="","",TEXT(B129,"yyyy/mm"))</x:f>
      </x:c>
      <x:c r="D129" s="100"/>
      <x:c r="E129" s="100"/>
      <x:c r="F129" s="100"/>
      <x:c r="G129" s="104"/>
      <x:c r="H129" s="100"/>
      <x:c r="I129" s="100"/>
      <x:c r="J129" s="104"/>
      <x:c r="K129" s="100"/>
      <x:c r="L129" s="100"/>
      <x:c r="M129" s="100"/>
      <x:c r="N129" s="100"/>
    </x:row>
    <x:row r="130">
      <x:c r="A130" s="98" t="str">
        <x:f>IF(B130="","",ROW()-6)</x:f>
      </x:c>
      <x:c r="B130" s="102"/>
      <x:c r="C130" s="98" t="str">
        <x:f>IF(B130="","",TEXT(B130,"yyyy/mm"))</x:f>
      </x:c>
      <x:c r="D130" s="100"/>
      <x:c r="E130" s="100"/>
      <x:c r="F130" s="100"/>
      <x:c r="G130" s="104"/>
      <x:c r="H130" s="100"/>
      <x:c r="I130" s="100"/>
      <x:c r="J130" s="104"/>
      <x:c r="K130" s="100"/>
      <x:c r="L130" s="100"/>
      <x:c r="M130" s="100"/>
      <x:c r="N130" s="100"/>
    </x:row>
    <x:row r="131">
      <x:c r="A131" s="98" t="str">
        <x:f>IF(B131="","",ROW()-6)</x:f>
      </x:c>
      <x:c r="B131" s="102"/>
      <x:c r="C131" s="98" t="str">
        <x:f>IF(B131="","",TEXT(B131,"yyyy/mm"))</x:f>
      </x:c>
      <x:c r="D131" s="100"/>
      <x:c r="E131" s="100"/>
      <x:c r="F131" s="100"/>
      <x:c r="G131" s="104"/>
      <x:c r="H131" s="100"/>
      <x:c r="I131" s="100"/>
      <x:c r="J131" s="104"/>
      <x:c r="K131" s="100"/>
      <x:c r="L131" s="100"/>
      <x:c r="M131" s="100"/>
      <x:c r="N131" s="100"/>
    </x:row>
    <x:row r="132">
      <x:c r="A132" s="98" t="str">
        <x:f>IF(B132="","",ROW()-6)</x:f>
      </x:c>
      <x:c r="B132" s="102"/>
      <x:c r="C132" s="98" t="str">
        <x:f>IF(B132="","",TEXT(B132,"yyyy/mm"))</x:f>
      </x:c>
      <x:c r="D132" s="100"/>
      <x:c r="E132" s="100"/>
      <x:c r="F132" s="100"/>
      <x:c r="G132" s="104"/>
      <x:c r="H132" s="100"/>
      <x:c r="I132" s="100"/>
      <x:c r="J132" s="104"/>
      <x:c r="K132" s="100"/>
      <x:c r="L132" s="100"/>
      <x:c r="M132" s="100"/>
      <x:c r="N132" s="100"/>
    </x:row>
    <x:row r="133">
      <x:c r="A133" s="98" t="str">
        <x:f>IF(B133="","",ROW()-6)</x:f>
      </x:c>
      <x:c r="B133" s="102"/>
      <x:c r="C133" s="98" t="str">
        <x:f>IF(B133="","",TEXT(B133,"yyyy/mm"))</x:f>
      </x:c>
      <x:c r="D133" s="100"/>
      <x:c r="E133" s="100"/>
      <x:c r="F133" s="100"/>
      <x:c r="G133" s="104"/>
      <x:c r="H133" s="100"/>
      <x:c r="I133" s="100"/>
      <x:c r="J133" s="104"/>
      <x:c r="K133" s="100"/>
      <x:c r="L133" s="100"/>
      <x:c r="M133" s="100"/>
      <x:c r="N133" s="100"/>
    </x:row>
    <x:row r="134">
      <x:c r="A134" s="98" t="str">
        <x:f>IF(B134="","",ROW()-6)</x:f>
      </x:c>
      <x:c r="B134" s="102"/>
      <x:c r="C134" s="98" t="str">
        <x:f>IF(B134="","",TEXT(B134,"yyyy/mm"))</x:f>
      </x:c>
      <x:c r="D134" s="100"/>
      <x:c r="E134" s="100"/>
      <x:c r="F134" s="100"/>
      <x:c r="G134" s="104"/>
      <x:c r="H134" s="100"/>
      <x:c r="I134" s="100"/>
      <x:c r="J134" s="104"/>
      <x:c r="K134" s="100"/>
      <x:c r="L134" s="100"/>
      <x:c r="M134" s="100"/>
      <x:c r="N134" s="100"/>
    </x:row>
    <x:row r="135">
      <x:c r="A135" s="98" t="str">
        <x:f>IF(B135="","",ROW()-6)</x:f>
      </x:c>
      <x:c r="B135" s="102"/>
      <x:c r="C135" s="98" t="str">
        <x:f>IF(B135="","",TEXT(B135,"yyyy/mm"))</x:f>
      </x:c>
      <x:c r="D135" s="100"/>
      <x:c r="E135" s="100"/>
      <x:c r="F135" s="100"/>
      <x:c r="G135" s="104"/>
      <x:c r="H135" s="100"/>
      <x:c r="I135" s="100"/>
      <x:c r="J135" s="104"/>
      <x:c r="K135" s="100"/>
      <x:c r="L135" s="100"/>
      <x:c r="M135" s="100"/>
      <x:c r="N135" s="100"/>
    </x:row>
    <x:row r="136">
      <x:c r="A136" s="98" t="str">
        <x:f>IF(B136="","",ROW()-6)</x:f>
      </x:c>
      <x:c r="B136" s="102"/>
      <x:c r="C136" s="98" t="str">
        <x:f>IF(B136="","",TEXT(B136,"yyyy/mm"))</x:f>
      </x:c>
      <x:c r="D136" s="100"/>
      <x:c r="E136" s="100"/>
      <x:c r="F136" s="100"/>
      <x:c r="G136" s="104"/>
      <x:c r="H136" s="100"/>
      <x:c r="I136" s="100"/>
      <x:c r="J136" s="104"/>
      <x:c r="K136" s="100"/>
      <x:c r="L136" s="100"/>
      <x:c r="M136" s="100"/>
      <x:c r="N136" s="100"/>
    </x:row>
    <x:row r="137">
      <x:c r="A137" s="98" t="str">
        <x:f>IF(B137="","",ROW()-6)</x:f>
      </x:c>
      <x:c r="B137" s="102"/>
      <x:c r="C137" s="98" t="str">
        <x:f>IF(B137="","",TEXT(B137,"yyyy/mm"))</x:f>
      </x:c>
      <x:c r="D137" s="100"/>
      <x:c r="E137" s="100"/>
      <x:c r="F137" s="100"/>
      <x:c r="G137" s="104"/>
      <x:c r="H137" s="100"/>
      <x:c r="I137" s="100"/>
      <x:c r="J137" s="104"/>
      <x:c r="K137" s="100"/>
      <x:c r="L137" s="100"/>
      <x:c r="M137" s="100"/>
      <x:c r="N137" s="100"/>
    </x:row>
    <x:row r="138">
      <x:c r="A138" s="98" t="str">
        <x:f>IF(B138="","",ROW()-6)</x:f>
      </x:c>
      <x:c r="B138" s="102"/>
      <x:c r="C138" s="98" t="str">
        <x:f>IF(B138="","",TEXT(B138,"yyyy/mm"))</x:f>
      </x:c>
      <x:c r="D138" s="100"/>
      <x:c r="E138" s="100"/>
      <x:c r="F138" s="100"/>
      <x:c r="G138" s="104"/>
      <x:c r="H138" s="100"/>
      <x:c r="I138" s="100"/>
      <x:c r="J138" s="104"/>
      <x:c r="K138" s="100"/>
      <x:c r="L138" s="100"/>
      <x:c r="M138" s="100"/>
      <x:c r="N138" s="100"/>
    </x:row>
    <x:row r="139">
      <x:c r="A139" s="98" t="str">
        <x:f>IF(B139="","",ROW()-6)</x:f>
      </x:c>
      <x:c r="B139" s="102"/>
      <x:c r="C139" s="98" t="str">
        <x:f>IF(B139="","",TEXT(B139,"yyyy/mm"))</x:f>
      </x:c>
      <x:c r="D139" s="100"/>
      <x:c r="E139" s="100"/>
      <x:c r="F139" s="100"/>
      <x:c r="G139" s="104"/>
      <x:c r="H139" s="100"/>
      <x:c r="I139" s="100"/>
      <x:c r="J139" s="104"/>
      <x:c r="K139" s="100"/>
      <x:c r="L139" s="100"/>
      <x:c r="M139" s="100"/>
      <x:c r="N139" s="100"/>
    </x:row>
    <x:row r="140">
      <x:c r="A140" s="98" t="str">
        <x:f>IF(B140="","",ROW()-6)</x:f>
      </x:c>
      <x:c r="B140" s="102"/>
      <x:c r="C140" s="98" t="str">
        <x:f>IF(B140="","",TEXT(B140,"yyyy/mm"))</x:f>
      </x:c>
      <x:c r="D140" s="100"/>
      <x:c r="E140" s="100"/>
      <x:c r="F140" s="100"/>
      <x:c r="G140" s="104"/>
      <x:c r="H140" s="100"/>
      <x:c r="I140" s="100"/>
      <x:c r="J140" s="104"/>
      <x:c r="K140" s="100"/>
      <x:c r="L140" s="100"/>
      <x:c r="M140" s="100"/>
      <x:c r="N140" s="100"/>
    </x:row>
    <x:row r="141">
      <x:c r="A141" s="98" t="str">
        <x:f>IF(B141="","",ROW()-6)</x:f>
      </x:c>
      <x:c r="B141" s="102"/>
      <x:c r="C141" s="98" t="str">
        <x:f>IF(B141="","",TEXT(B141,"yyyy/mm"))</x:f>
      </x:c>
      <x:c r="D141" s="100"/>
      <x:c r="E141" s="100"/>
      <x:c r="F141" s="100"/>
      <x:c r="G141" s="104"/>
      <x:c r="H141" s="100"/>
      <x:c r="I141" s="100"/>
      <x:c r="J141" s="104"/>
      <x:c r="K141" s="100"/>
      <x:c r="L141" s="100"/>
      <x:c r="M141" s="100"/>
      <x:c r="N141" s="100"/>
    </x:row>
    <x:row r="142">
      <x:c r="A142" s="98" t="str">
        <x:f>IF(B142="","",ROW()-6)</x:f>
      </x:c>
      <x:c r="B142" s="102"/>
      <x:c r="C142" s="98" t="str">
        <x:f>IF(B142="","",TEXT(B142,"yyyy/mm"))</x:f>
      </x:c>
      <x:c r="D142" s="100"/>
      <x:c r="E142" s="100"/>
      <x:c r="F142" s="100"/>
      <x:c r="G142" s="104"/>
      <x:c r="H142" s="100"/>
      <x:c r="I142" s="100"/>
      <x:c r="J142" s="104"/>
      <x:c r="K142" s="100"/>
      <x:c r="L142" s="100"/>
      <x:c r="M142" s="100"/>
      <x:c r="N142" s="100"/>
    </x:row>
    <x:row r="143">
      <x:c r="A143" s="98" t="str">
        <x:f>IF(B143="","",ROW()-6)</x:f>
      </x:c>
      <x:c r="B143" s="102"/>
      <x:c r="C143" s="98" t="str">
        <x:f>IF(B143="","",TEXT(B143,"yyyy/mm"))</x:f>
      </x:c>
      <x:c r="D143" s="100"/>
      <x:c r="E143" s="100"/>
      <x:c r="F143" s="100"/>
      <x:c r="G143" s="104"/>
      <x:c r="H143" s="100"/>
      <x:c r="I143" s="100"/>
      <x:c r="J143" s="104"/>
      <x:c r="K143" s="100"/>
      <x:c r="L143" s="100"/>
      <x:c r="M143" s="100"/>
      <x:c r="N143" s="100"/>
    </x:row>
    <x:row r="144">
      <x:c r="A144" s="98" t="str">
        <x:f>IF(B144="","",ROW()-6)</x:f>
      </x:c>
      <x:c r="B144" s="102"/>
      <x:c r="C144" s="98" t="str">
        <x:f>IF(B144="","",TEXT(B144,"yyyy/mm"))</x:f>
      </x:c>
      <x:c r="D144" s="100"/>
      <x:c r="E144" s="100"/>
      <x:c r="F144" s="100"/>
      <x:c r="G144" s="104"/>
      <x:c r="H144" s="100"/>
      <x:c r="I144" s="100"/>
      <x:c r="J144" s="104"/>
      <x:c r="K144" s="100"/>
      <x:c r="L144" s="100"/>
      <x:c r="M144" s="100"/>
      <x:c r="N144" s="100"/>
    </x:row>
    <x:row r="145">
      <x:c r="A145" s="98" t="str">
        <x:f>IF(B145="","",ROW()-6)</x:f>
      </x:c>
      <x:c r="B145" s="102"/>
      <x:c r="C145" s="98" t="str">
        <x:f>IF(B145="","",TEXT(B145,"yyyy/mm"))</x:f>
      </x:c>
      <x:c r="D145" s="100"/>
      <x:c r="E145" s="100"/>
      <x:c r="F145" s="100"/>
      <x:c r="G145" s="104"/>
      <x:c r="H145" s="100"/>
      <x:c r="I145" s="100"/>
      <x:c r="J145" s="104"/>
      <x:c r="K145" s="100"/>
      <x:c r="L145" s="100"/>
      <x:c r="M145" s="100"/>
      <x:c r="N145" s="100"/>
    </x:row>
    <x:row r="146">
      <x:c r="A146" s="98" t="str">
        <x:f>IF(B146="","",ROW()-6)</x:f>
      </x:c>
      <x:c r="B146" s="102"/>
      <x:c r="C146" s="98" t="str">
        <x:f>IF(B146="","",TEXT(B146,"yyyy/mm"))</x:f>
      </x:c>
      <x:c r="D146" s="100"/>
      <x:c r="E146" s="100"/>
      <x:c r="F146" s="100"/>
      <x:c r="G146" s="104"/>
      <x:c r="H146" s="100"/>
      <x:c r="I146" s="100"/>
      <x:c r="J146" s="104"/>
      <x:c r="K146" s="100"/>
      <x:c r="L146" s="100"/>
      <x:c r="M146" s="100"/>
      <x:c r="N146" s="100"/>
    </x:row>
    <x:row r="147">
      <x:c r="A147" s="98" t="str">
        <x:f>IF(B147="","",ROW()-6)</x:f>
      </x:c>
      <x:c r="B147" s="102"/>
      <x:c r="C147" s="98" t="str">
        <x:f>IF(B147="","",TEXT(B147,"yyyy/mm"))</x:f>
      </x:c>
      <x:c r="D147" s="100"/>
      <x:c r="E147" s="100"/>
      <x:c r="F147" s="100"/>
      <x:c r="G147" s="104"/>
      <x:c r="H147" s="100"/>
      <x:c r="I147" s="100"/>
      <x:c r="J147" s="104"/>
      <x:c r="K147" s="100"/>
      <x:c r="L147" s="100"/>
      <x:c r="M147" s="100"/>
      <x:c r="N147" s="100"/>
    </x:row>
    <x:row r="148">
      <x:c r="A148" s="98" t="str">
        <x:f>IF(B148="","",ROW()-6)</x:f>
      </x:c>
      <x:c r="B148" s="102"/>
      <x:c r="C148" s="98" t="str">
        <x:f>IF(B148="","",TEXT(B148,"yyyy/mm"))</x:f>
      </x:c>
      <x:c r="D148" s="100"/>
      <x:c r="E148" s="100"/>
      <x:c r="F148" s="100"/>
      <x:c r="G148" s="104"/>
      <x:c r="H148" s="100"/>
      <x:c r="I148" s="100"/>
      <x:c r="J148" s="104"/>
      <x:c r="K148" s="100"/>
      <x:c r="L148" s="100"/>
      <x:c r="M148" s="100"/>
      <x:c r="N148" s="100"/>
    </x:row>
    <x:row r="149">
      <x:c r="A149" s="98" t="str">
        <x:f>IF(B149="","",ROW()-6)</x:f>
      </x:c>
      <x:c r="B149" s="102"/>
      <x:c r="C149" s="98" t="str">
        <x:f>IF(B149="","",TEXT(B149,"yyyy/mm"))</x:f>
      </x:c>
      <x:c r="D149" s="100"/>
      <x:c r="E149" s="100"/>
      <x:c r="F149" s="100"/>
      <x:c r="G149" s="104"/>
      <x:c r="H149" s="100"/>
      <x:c r="I149" s="100"/>
      <x:c r="J149" s="104"/>
      <x:c r="K149" s="100"/>
      <x:c r="L149" s="100"/>
      <x:c r="M149" s="100"/>
      <x:c r="N149" s="100"/>
    </x:row>
    <x:row r="150">
      <x:c r="A150" s="98" t="str">
        <x:f>IF(B150="","",ROW()-6)</x:f>
      </x:c>
      <x:c r="B150" s="102"/>
      <x:c r="C150" s="98" t="str">
        <x:f>IF(B150="","",TEXT(B150,"yyyy/mm"))</x:f>
      </x:c>
      <x:c r="D150" s="100"/>
      <x:c r="E150" s="100"/>
      <x:c r="F150" s="100"/>
      <x:c r="G150" s="104"/>
      <x:c r="H150" s="100"/>
      <x:c r="I150" s="100"/>
      <x:c r="J150" s="104"/>
      <x:c r="K150" s="100"/>
      <x:c r="L150" s="100"/>
      <x:c r="M150" s="100"/>
      <x:c r="N150" s="100"/>
    </x:row>
    <x:row r="151">
      <x:c r="A151" s="98" t="str">
        <x:f>IF(B151="","",ROW()-6)</x:f>
      </x:c>
      <x:c r="B151" s="102"/>
      <x:c r="C151" s="98" t="str">
        <x:f>IF(B151="","",TEXT(B151,"yyyy/mm"))</x:f>
      </x:c>
      <x:c r="D151" s="100"/>
      <x:c r="E151" s="100"/>
      <x:c r="F151" s="100"/>
      <x:c r="G151" s="104"/>
      <x:c r="H151" s="100"/>
      <x:c r="I151" s="100"/>
      <x:c r="J151" s="104"/>
      <x:c r="K151" s="100"/>
      <x:c r="L151" s="100"/>
      <x:c r="M151" s="100"/>
      <x:c r="N151" s="100"/>
    </x:row>
    <x:row r="152">
      <x:c r="A152" s="98" t="str">
        <x:f>IF(B152="","",ROW()-6)</x:f>
      </x:c>
      <x:c r="B152" s="102"/>
      <x:c r="C152" s="98" t="str">
        <x:f>IF(B152="","",TEXT(B152,"yyyy/mm"))</x:f>
      </x:c>
      <x:c r="D152" s="100"/>
      <x:c r="E152" s="100"/>
      <x:c r="F152" s="100"/>
      <x:c r="G152" s="104"/>
      <x:c r="H152" s="100"/>
      <x:c r="I152" s="100"/>
      <x:c r="J152" s="104"/>
      <x:c r="K152" s="100"/>
      <x:c r="L152" s="100"/>
      <x:c r="M152" s="100"/>
      <x:c r="N152" s="100"/>
    </x:row>
    <x:row r="153">
      <x:c r="A153" s="98" t="str">
        <x:f>IF(B153="","",ROW()-6)</x:f>
      </x:c>
      <x:c r="B153" s="102"/>
      <x:c r="C153" s="98" t="str">
        <x:f>IF(B153="","",TEXT(B153,"yyyy/mm"))</x:f>
      </x:c>
      <x:c r="D153" s="100"/>
      <x:c r="E153" s="100"/>
      <x:c r="F153" s="100"/>
      <x:c r="G153" s="104"/>
      <x:c r="H153" s="100"/>
      <x:c r="I153" s="100"/>
      <x:c r="J153" s="104"/>
      <x:c r="K153" s="100"/>
      <x:c r="L153" s="100"/>
      <x:c r="M153" s="100"/>
      <x:c r="N153" s="100"/>
    </x:row>
    <x:row r="154">
      <x:c r="A154" s="98" t="str">
        <x:f>IF(B154="","",ROW()-6)</x:f>
      </x:c>
      <x:c r="B154" s="102"/>
      <x:c r="C154" s="98" t="str">
        <x:f>IF(B154="","",TEXT(B154,"yyyy/mm"))</x:f>
      </x:c>
      <x:c r="D154" s="100"/>
      <x:c r="E154" s="100"/>
      <x:c r="F154" s="100"/>
      <x:c r="G154" s="104"/>
      <x:c r="H154" s="100"/>
      <x:c r="I154" s="100"/>
      <x:c r="J154" s="104"/>
      <x:c r="K154" s="100"/>
      <x:c r="L154" s="100"/>
      <x:c r="M154" s="100"/>
      <x:c r="N154" s="100"/>
    </x:row>
    <x:row r="155">
      <x:c r="A155" s="98" t="str">
        <x:f>IF(B155="","",ROW()-6)</x:f>
      </x:c>
      <x:c r="B155" s="102"/>
      <x:c r="C155" s="98" t="str">
        <x:f>IF(B155="","",TEXT(B155,"yyyy/mm"))</x:f>
      </x:c>
      <x:c r="D155" s="100"/>
      <x:c r="E155" s="100"/>
      <x:c r="F155" s="100"/>
      <x:c r="G155" s="104"/>
      <x:c r="H155" s="100"/>
      <x:c r="I155" s="100"/>
      <x:c r="J155" s="104"/>
      <x:c r="K155" s="100"/>
      <x:c r="L155" s="100"/>
      <x:c r="M155" s="100"/>
      <x:c r="N155" s="100"/>
    </x:row>
    <x:row r="156">
      <x:c r="A156" s="98" t="str">
        <x:f>IF(B156="","",ROW()-6)</x:f>
      </x:c>
      <x:c r="B156" s="102"/>
      <x:c r="C156" s="98" t="str">
        <x:f>IF(B156="","",TEXT(B156,"yyyy/mm"))</x:f>
      </x:c>
      <x:c r="D156" s="100"/>
      <x:c r="E156" s="100"/>
      <x:c r="F156" s="100"/>
      <x:c r="G156" s="104"/>
      <x:c r="H156" s="100"/>
      <x:c r="I156" s="100"/>
      <x:c r="J156" s="104"/>
      <x:c r="K156" s="100"/>
      <x:c r="L156" s="100"/>
      <x:c r="M156" s="100"/>
      <x:c r="N156" s="100"/>
    </x:row>
    <x:row r="157">
      <x:c r="A157" s="98" t="str">
        <x:f>IF(B157="","",ROW()-6)</x:f>
      </x:c>
      <x:c r="B157" s="102"/>
      <x:c r="C157" s="98" t="str">
        <x:f>IF(B157="","",TEXT(B157,"yyyy/mm"))</x:f>
      </x:c>
      <x:c r="D157" s="100"/>
      <x:c r="E157" s="100"/>
      <x:c r="F157" s="100"/>
      <x:c r="G157" s="104"/>
      <x:c r="H157" s="100"/>
      <x:c r="I157" s="100"/>
      <x:c r="J157" s="104"/>
      <x:c r="K157" s="100"/>
      <x:c r="L157" s="100"/>
      <x:c r="M157" s="100"/>
      <x:c r="N157" s="100"/>
    </x:row>
    <x:row r="158">
      <x:c r="A158" s="98" t="str">
        <x:f>IF(B158="","",ROW()-6)</x:f>
      </x:c>
      <x:c r="B158" s="102"/>
      <x:c r="C158" s="98" t="str">
        <x:f>IF(B158="","",TEXT(B158,"yyyy/mm"))</x:f>
      </x:c>
      <x:c r="D158" s="100"/>
      <x:c r="E158" s="100"/>
      <x:c r="F158" s="100"/>
      <x:c r="G158" s="104"/>
      <x:c r="H158" s="100"/>
      <x:c r="I158" s="100"/>
      <x:c r="J158" s="104"/>
      <x:c r="K158" s="100"/>
      <x:c r="L158" s="100"/>
      <x:c r="M158" s="100"/>
      <x:c r="N158" s="100"/>
    </x:row>
    <x:row r="159">
      <x:c r="A159" s="98" t="str">
        <x:f>IF(B159="","",ROW()-6)</x:f>
      </x:c>
      <x:c r="B159" s="102"/>
      <x:c r="C159" s="98" t="str">
        <x:f>IF(B159="","",TEXT(B159,"yyyy/mm"))</x:f>
      </x:c>
      <x:c r="D159" s="100"/>
      <x:c r="E159" s="100"/>
      <x:c r="F159" s="100"/>
      <x:c r="G159" s="104"/>
      <x:c r="H159" s="100"/>
      <x:c r="I159" s="100"/>
      <x:c r="J159" s="104"/>
      <x:c r="K159" s="100"/>
      <x:c r="L159" s="100"/>
      <x:c r="M159" s="100"/>
      <x:c r="N159" s="100"/>
    </x:row>
    <x:row r="160">
      <x:c r="A160" s="98" t="str">
        <x:f>IF(B160="","",ROW()-6)</x:f>
      </x:c>
      <x:c r="B160" s="102"/>
      <x:c r="C160" s="98" t="str">
        <x:f>IF(B160="","",TEXT(B160,"yyyy/mm"))</x:f>
      </x:c>
      <x:c r="D160" s="100"/>
      <x:c r="E160" s="100"/>
      <x:c r="F160" s="100"/>
      <x:c r="G160" s="104"/>
      <x:c r="H160" s="100"/>
      <x:c r="I160" s="100"/>
      <x:c r="J160" s="104"/>
      <x:c r="K160" s="100"/>
      <x:c r="L160" s="100"/>
      <x:c r="M160" s="100"/>
      <x:c r="N160" s="100"/>
    </x:row>
    <x:row r="161">
      <x:c r="A161" s="98" t="str">
        <x:f>IF(B161="","",ROW()-6)</x:f>
      </x:c>
      <x:c r="B161" s="102"/>
      <x:c r="C161" s="98" t="str">
        <x:f>IF(B161="","",TEXT(B161,"yyyy/mm"))</x:f>
      </x:c>
      <x:c r="D161" s="100"/>
      <x:c r="E161" s="100"/>
      <x:c r="F161" s="100"/>
      <x:c r="G161" s="104"/>
      <x:c r="H161" s="100"/>
      <x:c r="I161" s="100"/>
      <x:c r="J161" s="104"/>
      <x:c r="K161" s="100"/>
      <x:c r="L161" s="100"/>
      <x:c r="M161" s="100"/>
      <x:c r="N161" s="100"/>
    </x:row>
    <x:row r="162">
      <x:c r="A162" s="98" t="str">
        <x:f>IF(B162="","",ROW()-6)</x:f>
      </x:c>
      <x:c r="B162" s="102"/>
      <x:c r="C162" s="98" t="str">
        <x:f>IF(B162="","",TEXT(B162,"yyyy/mm"))</x:f>
      </x:c>
      <x:c r="D162" s="100"/>
      <x:c r="E162" s="100"/>
      <x:c r="F162" s="100"/>
      <x:c r="G162" s="104"/>
      <x:c r="H162" s="100"/>
      <x:c r="I162" s="100"/>
      <x:c r="J162" s="104"/>
      <x:c r="K162" s="100"/>
      <x:c r="L162" s="100"/>
      <x:c r="M162" s="100"/>
      <x:c r="N162" s="100"/>
    </x:row>
    <x:row r="163">
      <x:c r="A163" s="98" t="str">
        <x:f>IF(B163="","",ROW()-6)</x:f>
      </x:c>
      <x:c r="B163" s="102"/>
      <x:c r="C163" s="98" t="str">
        <x:f>IF(B163="","",TEXT(B163,"yyyy/mm"))</x:f>
      </x:c>
      <x:c r="D163" s="100"/>
      <x:c r="E163" s="100"/>
      <x:c r="F163" s="100"/>
      <x:c r="G163" s="104"/>
      <x:c r="H163" s="100"/>
      <x:c r="I163" s="100"/>
      <x:c r="J163" s="104"/>
      <x:c r="K163" s="100"/>
      <x:c r="L163" s="100"/>
      <x:c r="M163" s="100"/>
      <x:c r="N163" s="100"/>
    </x:row>
    <x:row r="164">
      <x:c r="A164" s="98" t="str">
        <x:f>IF(B164="","",ROW()-6)</x:f>
      </x:c>
      <x:c r="B164" s="102"/>
      <x:c r="C164" s="98" t="str">
        <x:f>IF(B164="","",TEXT(B164,"yyyy/mm"))</x:f>
      </x:c>
      <x:c r="D164" s="100"/>
      <x:c r="E164" s="100"/>
      <x:c r="F164" s="100"/>
      <x:c r="G164" s="104"/>
      <x:c r="H164" s="100"/>
      <x:c r="I164" s="100"/>
      <x:c r="J164" s="104"/>
      <x:c r="K164" s="100"/>
      <x:c r="L164" s="100"/>
      <x:c r="M164" s="100"/>
      <x:c r="N164" s="100"/>
    </x:row>
    <x:row r="165">
      <x:c r="A165" s="98" t="str">
        <x:f>IF(B165="","",ROW()-6)</x:f>
      </x:c>
      <x:c r="B165" s="102"/>
      <x:c r="C165" s="98" t="str">
        <x:f>IF(B165="","",TEXT(B165,"yyyy/mm"))</x:f>
      </x:c>
      <x:c r="D165" s="100"/>
      <x:c r="E165" s="100"/>
      <x:c r="F165" s="100"/>
      <x:c r="G165" s="104"/>
      <x:c r="H165" s="100"/>
      <x:c r="I165" s="100"/>
      <x:c r="J165" s="104"/>
      <x:c r="K165" s="100"/>
      <x:c r="L165" s="100"/>
      <x:c r="M165" s="100"/>
      <x:c r="N165" s="100"/>
    </x:row>
    <x:row r="166">
      <x:c r="A166" s="98" t="str">
        <x:f>IF(B166="","",ROW()-6)</x:f>
      </x:c>
      <x:c r="B166" s="102"/>
      <x:c r="C166" s="98" t="str">
        <x:f>IF(B166="","",TEXT(B166,"yyyy/mm"))</x:f>
      </x:c>
      <x:c r="D166" s="100"/>
      <x:c r="E166" s="100"/>
      <x:c r="F166" s="100"/>
      <x:c r="G166" s="104"/>
      <x:c r="H166" s="100"/>
      <x:c r="I166" s="100"/>
      <x:c r="J166" s="104"/>
      <x:c r="K166" s="100"/>
      <x:c r="L166" s="100"/>
      <x:c r="M166" s="100"/>
      <x:c r="N166" s="100"/>
    </x:row>
    <x:row r="167">
      <x:c r="A167" s="98" t="str">
        <x:f>IF(B167="","",ROW()-6)</x:f>
      </x:c>
      <x:c r="B167" s="102"/>
      <x:c r="C167" s="98" t="str">
        <x:f>IF(B167="","",TEXT(B167,"yyyy/mm"))</x:f>
      </x:c>
      <x:c r="D167" s="100"/>
      <x:c r="E167" s="100"/>
      <x:c r="F167" s="100"/>
      <x:c r="G167" s="104"/>
      <x:c r="H167" s="100"/>
      <x:c r="I167" s="100"/>
      <x:c r="J167" s="104"/>
      <x:c r="K167" s="100"/>
      <x:c r="L167" s="100"/>
      <x:c r="M167" s="100"/>
      <x:c r="N167" s="100"/>
    </x:row>
    <x:row r="168">
      <x:c r="A168" s="98" t="str">
        <x:f>IF(B168="","",ROW()-6)</x:f>
      </x:c>
      <x:c r="B168" s="102"/>
      <x:c r="C168" s="98" t="str">
        <x:f>IF(B168="","",TEXT(B168,"yyyy/mm"))</x:f>
      </x:c>
      <x:c r="D168" s="100"/>
      <x:c r="E168" s="100"/>
      <x:c r="F168" s="100"/>
      <x:c r="G168" s="104"/>
      <x:c r="H168" s="100"/>
      <x:c r="I168" s="100"/>
      <x:c r="J168" s="104"/>
      <x:c r="K168" s="100"/>
      <x:c r="L168" s="100"/>
      <x:c r="M168" s="100"/>
      <x:c r="N168" s="100"/>
    </x:row>
    <x:row r="169">
      <x:c r="A169" s="98" t="str">
        <x:f>IF(B169="","",ROW()-6)</x:f>
      </x:c>
      <x:c r="B169" s="102"/>
      <x:c r="C169" s="98" t="str">
        <x:f>IF(B169="","",TEXT(B169,"yyyy/mm"))</x:f>
      </x:c>
      <x:c r="D169" s="100"/>
      <x:c r="E169" s="100"/>
      <x:c r="F169" s="100"/>
      <x:c r="G169" s="104"/>
      <x:c r="H169" s="100"/>
      <x:c r="I169" s="100"/>
      <x:c r="J169" s="104"/>
      <x:c r="K169" s="100"/>
      <x:c r="L169" s="100"/>
      <x:c r="M169" s="100"/>
      <x:c r="N169" s="100"/>
    </x:row>
    <x:row r="170">
      <x:c r="A170" s="98" t="str">
        <x:f>IF(B170="","",ROW()-6)</x:f>
      </x:c>
      <x:c r="B170" s="102"/>
      <x:c r="C170" s="98" t="str">
        <x:f>IF(B170="","",TEXT(B170,"yyyy/mm"))</x:f>
      </x:c>
      <x:c r="D170" s="100"/>
      <x:c r="E170" s="100"/>
      <x:c r="F170" s="100"/>
      <x:c r="G170" s="104"/>
      <x:c r="H170" s="100"/>
      <x:c r="I170" s="100"/>
      <x:c r="J170" s="104"/>
      <x:c r="K170" s="100"/>
      <x:c r="L170" s="100"/>
      <x:c r="M170" s="100"/>
      <x:c r="N170" s="100"/>
    </x:row>
    <x:row r="171">
      <x:c r="A171" s="98" t="str">
        <x:f>IF(B171="","",ROW()-6)</x:f>
      </x:c>
      <x:c r="B171" s="102"/>
      <x:c r="C171" s="98" t="str">
        <x:f>IF(B171="","",TEXT(B171,"yyyy/mm"))</x:f>
      </x:c>
      <x:c r="D171" s="100"/>
      <x:c r="E171" s="100"/>
      <x:c r="F171" s="100"/>
      <x:c r="G171" s="104"/>
      <x:c r="H171" s="100"/>
      <x:c r="I171" s="100"/>
      <x:c r="J171" s="104"/>
      <x:c r="K171" s="100"/>
      <x:c r="L171" s="100"/>
      <x:c r="M171" s="100"/>
      <x:c r="N171" s="100"/>
    </x:row>
    <x:row r="172">
      <x:c r="A172" s="98" t="str">
        <x:f>IF(B172="","",ROW()-6)</x:f>
      </x:c>
      <x:c r="B172" s="102"/>
      <x:c r="C172" s="98" t="str">
        <x:f>IF(B172="","",TEXT(B172,"yyyy/mm"))</x:f>
      </x:c>
      <x:c r="D172" s="100"/>
      <x:c r="E172" s="100"/>
      <x:c r="F172" s="100"/>
      <x:c r="G172" s="104"/>
      <x:c r="H172" s="100"/>
      <x:c r="I172" s="100"/>
      <x:c r="J172" s="104"/>
      <x:c r="K172" s="100"/>
      <x:c r="L172" s="100"/>
      <x:c r="M172" s="100"/>
      <x:c r="N172" s="100"/>
    </x:row>
    <x:row r="173">
      <x:c r="A173" s="98" t="str">
        <x:f>IF(B173="","",ROW()-6)</x:f>
      </x:c>
      <x:c r="B173" s="102"/>
      <x:c r="C173" s="98" t="str">
        <x:f>IF(B173="","",TEXT(B173,"yyyy/mm"))</x:f>
      </x:c>
      <x:c r="D173" s="100"/>
      <x:c r="E173" s="100"/>
      <x:c r="F173" s="100"/>
      <x:c r="G173" s="104"/>
      <x:c r="H173" s="100"/>
      <x:c r="I173" s="100"/>
      <x:c r="J173" s="104"/>
      <x:c r="K173" s="100"/>
      <x:c r="L173" s="100"/>
      <x:c r="M173" s="100"/>
      <x:c r="N173" s="100"/>
    </x:row>
    <x:row r="174">
      <x:c r="A174" s="98" t="str">
        <x:f>IF(B174="","",ROW()-6)</x:f>
      </x:c>
      <x:c r="B174" s="102"/>
      <x:c r="C174" s="98" t="str">
        <x:f>IF(B174="","",TEXT(B174,"yyyy/mm"))</x:f>
      </x:c>
      <x:c r="D174" s="100"/>
      <x:c r="E174" s="100"/>
      <x:c r="F174" s="100"/>
      <x:c r="G174" s="104"/>
      <x:c r="H174" s="100"/>
      <x:c r="I174" s="100"/>
      <x:c r="J174" s="104"/>
      <x:c r="K174" s="100"/>
      <x:c r="L174" s="100"/>
      <x:c r="M174" s="100"/>
      <x:c r="N174" s="100"/>
    </x:row>
    <x:row r="175">
      <x:c r="A175" s="98" t="str">
        <x:f>IF(B175="","",ROW()-6)</x:f>
      </x:c>
      <x:c r="B175" s="102"/>
      <x:c r="C175" s="98" t="str">
        <x:f>IF(B175="","",TEXT(B175,"yyyy/mm"))</x:f>
      </x:c>
      <x:c r="D175" s="100"/>
      <x:c r="E175" s="100"/>
      <x:c r="F175" s="100"/>
      <x:c r="G175" s="104"/>
      <x:c r="H175" s="100"/>
      <x:c r="I175" s="100"/>
      <x:c r="J175" s="104"/>
      <x:c r="K175" s="100"/>
      <x:c r="L175" s="100"/>
      <x:c r="M175" s="100"/>
      <x:c r="N175" s="100"/>
    </x:row>
    <x:row r="176">
      <x:c r="A176" s="98" t="str">
        <x:f>IF(B176="","",ROW()-6)</x:f>
      </x:c>
      <x:c r="B176" s="102"/>
      <x:c r="C176" s="98" t="str">
        <x:f>IF(B176="","",TEXT(B176,"yyyy/mm"))</x:f>
      </x:c>
      <x:c r="D176" s="100"/>
      <x:c r="E176" s="100"/>
      <x:c r="F176" s="100"/>
      <x:c r="G176" s="104"/>
      <x:c r="H176" s="100"/>
      <x:c r="I176" s="100"/>
      <x:c r="J176" s="104"/>
      <x:c r="K176" s="100"/>
      <x:c r="L176" s="100"/>
      <x:c r="M176" s="100"/>
      <x:c r="N176" s="100"/>
    </x:row>
    <x:row r="177">
      <x:c r="A177" s="98" t="str">
        <x:f>IF(B177="","",ROW()-6)</x:f>
      </x:c>
      <x:c r="B177" s="102"/>
      <x:c r="C177" s="98" t="str">
        <x:f>IF(B177="","",TEXT(B177,"yyyy/mm"))</x:f>
      </x:c>
      <x:c r="D177" s="100"/>
      <x:c r="E177" s="100"/>
      <x:c r="F177" s="100"/>
      <x:c r="G177" s="104"/>
      <x:c r="H177" s="100"/>
      <x:c r="I177" s="100"/>
      <x:c r="J177" s="104"/>
      <x:c r="K177" s="100"/>
      <x:c r="L177" s="100"/>
      <x:c r="M177" s="100"/>
      <x:c r="N177" s="100"/>
    </x:row>
    <x:row r="178">
      <x:c r="A178" s="98" t="str">
        <x:f>IF(B178="","",ROW()-6)</x:f>
      </x:c>
      <x:c r="B178" s="102"/>
      <x:c r="C178" s="98" t="str">
        <x:f>IF(B178="","",TEXT(B178,"yyyy/mm"))</x:f>
      </x:c>
      <x:c r="D178" s="100"/>
      <x:c r="E178" s="100"/>
      <x:c r="F178" s="100"/>
      <x:c r="G178" s="104"/>
      <x:c r="H178" s="100"/>
      <x:c r="I178" s="100"/>
      <x:c r="J178" s="104"/>
      <x:c r="K178" s="100"/>
      <x:c r="L178" s="100"/>
      <x:c r="M178" s="100"/>
      <x:c r="N178" s="100"/>
    </x:row>
    <x:row r="179">
      <x:c r="A179" s="98" t="str">
        <x:f>IF(B179="","",ROW()-6)</x:f>
      </x:c>
      <x:c r="B179" s="102"/>
      <x:c r="C179" s="98" t="str">
        <x:f>IF(B179="","",TEXT(B179,"yyyy/mm"))</x:f>
      </x:c>
      <x:c r="D179" s="100"/>
      <x:c r="E179" s="100"/>
      <x:c r="F179" s="100"/>
      <x:c r="G179" s="104"/>
      <x:c r="H179" s="100"/>
      <x:c r="I179" s="100"/>
      <x:c r="J179" s="104"/>
      <x:c r="K179" s="100"/>
      <x:c r="L179" s="100"/>
      <x:c r="M179" s="100"/>
      <x:c r="N179" s="100"/>
    </x:row>
    <x:row r="180">
      <x:c r="A180" s="98" t="str">
        <x:f>IF(B180="","",ROW()-6)</x:f>
      </x:c>
      <x:c r="B180" s="102"/>
      <x:c r="C180" s="98" t="str">
        <x:f>IF(B180="","",TEXT(B180,"yyyy/mm"))</x:f>
      </x:c>
      <x:c r="D180" s="100"/>
      <x:c r="E180" s="100"/>
      <x:c r="F180" s="100"/>
      <x:c r="G180" s="104"/>
      <x:c r="H180" s="100"/>
      <x:c r="I180" s="100"/>
      <x:c r="J180" s="104"/>
      <x:c r="K180" s="100"/>
      <x:c r="L180" s="100"/>
      <x:c r="M180" s="100"/>
      <x:c r="N180" s="100"/>
    </x:row>
    <x:row r="181">
      <x:c r="A181" s="98" t="str">
        <x:f>IF(B181="","",ROW()-6)</x:f>
      </x:c>
      <x:c r="B181" s="102"/>
      <x:c r="C181" s="98" t="str">
        <x:f>IF(B181="","",TEXT(B181,"yyyy/mm"))</x:f>
      </x:c>
      <x:c r="D181" s="100"/>
      <x:c r="E181" s="100"/>
      <x:c r="F181" s="100"/>
      <x:c r="G181" s="104"/>
      <x:c r="H181" s="100"/>
      <x:c r="I181" s="100"/>
      <x:c r="J181" s="104"/>
      <x:c r="K181" s="100"/>
      <x:c r="L181" s="100"/>
      <x:c r="M181" s="100"/>
      <x:c r="N181" s="100"/>
    </x:row>
    <x:row r="182">
      <x:c r="A182" s="98" t="str">
        <x:f>IF(B182="","",ROW()-6)</x:f>
      </x:c>
      <x:c r="B182" s="102"/>
      <x:c r="C182" s="98" t="str">
        <x:f>IF(B182="","",TEXT(B182,"yyyy/mm"))</x:f>
      </x:c>
      <x:c r="D182" s="100"/>
      <x:c r="E182" s="100"/>
      <x:c r="F182" s="100"/>
      <x:c r="G182" s="104"/>
      <x:c r="H182" s="100"/>
      <x:c r="I182" s="100"/>
      <x:c r="J182" s="104"/>
      <x:c r="K182" s="100"/>
      <x:c r="L182" s="100"/>
      <x:c r="M182" s="100"/>
      <x:c r="N182" s="100"/>
    </x:row>
    <x:row r="183">
      <x:c r="A183" s="98" t="str">
        <x:f>IF(B183="","",ROW()-6)</x:f>
      </x:c>
      <x:c r="B183" s="102"/>
      <x:c r="C183" s="98" t="str">
        <x:f>IF(B183="","",TEXT(B183,"yyyy/mm"))</x:f>
      </x:c>
      <x:c r="D183" s="100"/>
      <x:c r="E183" s="100"/>
      <x:c r="F183" s="100"/>
      <x:c r="G183" s="104"/>
      <x:c r="H183" s="100"/>
      <x:c r="I183" s="100"/>
      <x:c r="J183" s="104"/>
      <x:c r="K183" s="100"/>
      <x:c r="L183" s="100"/>
      <x:c r="M183" s="100"/>
      <x:c r="N183" s="100"/>
    </x:row>
    <x:row r="184">
      <x:c r="A184" s="98" t="str">
        <x:f>IF(B184="","",ROW()-6)</x:f>
      </x:c>
      <x:c r="B184" s="102"/>
      <x:c r="C184" s="98" t="str">
        <x:f>IF(B184="","",TEXT(B184,"yyyy/mm"))</x:f>
      </x:c>
      <x:c r="D184" s="100"/>
      <x:c r="E184" s="100"/>
      <x:c r="F184" s="100"/>
      <x:c r="G184" s="104"/>
      <x:c r="H184" s="100"/>
      <x:c r="I184" s="100"/>
      <x:c r="J184" s="104"/>
      <x:c r="K184" s="100"/>
      <x:c r="L184" s="100"/>
      <x:c r="M184" s="100"/>
      <x:c r="N184" s="100"/>
    </x:row>
    <x:row r="185">
      <x:c r="A185" s="98" t="str">
        <x:f>IF(B185="","",ROW()-6)</x:f>
      </x:c>
      <x:c r="B185" s="102"/>
      <x:c r="C185" s="98" t="str">
        <x:f>IF(B185="","",TEXT(B185,"yyyy/mm"))</x:f>
      </x:c>
      <x:c r="D185" s="100"/>
      <x:c r="E185" s="100"/>
      <x:c r="F185" s="100"/>
      <x:c r="G185" s="104"/>
      <x:c r="H185" s="100"/>
      <x:c r="I185" s="100"/>
      <x:c r="J185" s="104"/>
      <x:c r="K185" s="100"/>
      <x:c r="L185" s="100"/>
      <x:c r="M185" s="100"/>
      <x:c r="N185" s="100"/>
    </x:row>
    <x:row r="186">
      <x:c r="A186" s="98" t="str">
        <x:f>IF(B186="","",ROW()-6)</x:f>
      </x:c>
      <x:c r="B186" s="102"/>
      <x:c r="C186" s="98" t="str">
        <x:f>IF(B186="","",TEXT(B186,"yyyy/mm"))</x:f>
      </x:c>
      <x:c r="D186" s="100"/>
      <x:c r="E186" s="100"/>
      <x:c r="F186" s="100"/>
      <x:c r="G186" s="104"/>
      <x:c r="H186" s="100"/>
      <x:c r="I186" s="100"/>
      <x:c r="J186" s="104"/>
      <x:c r="K186" s="100"/>
      <x:c r="L186" s="100"/>
      <x:c r="M186" s="100"/>
      <x:c r="N186" s="100"/>
    </x:row>
    <x:row r="187">
      <x:c r="A187" s="98" t="str">
        <x:f>IF(B187="","",ROW()-6)</x:f>
      </x:c>
      <x:c r="B187" s="102"/>
      <x:c r="C187" s="98" t="str">
        <x:f>IF(B187="","",TEXT(B187,"yyyy/mm"))</x:f>
      </x:c>
      <x:c r="D187" s="100"/>
      <x:c r="E187" s="100"/>
      <x:c r="F187" s="100"/>
      <x:c r="G187" s="104"/>
      <x:c r="H187" s="100"/>
      <x:c r="I187" s="100"/>
      <x:c r="J187" s="104"/>
      <x:c r="K187" s="100"/>
      <x:c r="L187" s="100"/>
      <x:c r="M187" s="100"/>
      <x:c r="N187" s="100"/>
    </x:row>
    <x:row r="188">
      <x:c r="A188" s="98" t="str">
        <x:f>IF(B188="","",ROW()-6)</x:f>
      </x:c>
      <x:c r="B188" s="102"/>
      <x:c r="C188" s="98" t="str">
        <x:f>IF(B188="","",TEXT(B188,"yyyy/mm"))</x:f>
      </x:c>
      <x:c r="D188" s="100"/>
      <x:c r="E188" s="100"/>
      <x:c r="F188" s="100"/>
      <x:c r="G188" s="104"/>
      <x:c r="H188" s="100"/>
      <x:c r="I188" s="100"/>
      <x:c r="J188" s="104"/>
      <x:c r="K188" s="100"/>
      <x:c r="L188" s="100"/>
      <x:c r="M188" s="100"/>
      <x:c r="N188" s="100"/>
    </x:row>
    <x:row r="189">
      <x:c r="A189" s="98" t="str">
        <x:f>IF(B189="","",ROW()-6)</x:f>
      </x:c>
      <x:c r="B189" s="102"/>
      <x:c r="C189" s="98" t="str">
        <x:f>IF(B189="","",TEXT(B189,"yyyy/mm"))</x:f>
      </x:c>
      <x:c r="D189" s="100"/>
      <x:c r="E189" s="100"/>
      <x:c r="F189" s="100"/>
      <x:c r="G189" s="104"/>
      <x:c r="H189" s="100"/>
      <x:c r="I189" s="100"/>
      <x:c r="J189" s="104"/>
      <x:c r="K189" s="100"/>
      <x:c r="L189" s="100"/>
      <x:c r="M189" s="100"/>
      <x:c r="N189" s="100"/>
    </x:row>
    <x:row r="190">
      <x:c r="A190" s="98" t="str">
        <x:f>IF(B190="","",ROW()-6)</x:f>
      </x:c>
      <x:c r="B190" s="102"/>
      <x:c r="C190" s="98" t="str">
        <x:f>IF(B190="","",TEXT(B190,"yyyy/mm"))</x:f>
      </x:c>
      <x:c r="D190" s="100"/>
      <x:c r="E190" s="100"/>
      <x:c r="F190" s="100"/>
      <x:c r="G190" s="104"/>
      <x:c r="H190" s="100"/>
      <x:c r="I190" s="100"/>
      <x:c r="J190" s="104"/>
      <x:c r="K190" s="100"/>
      <x:c r="L190" s="100"/>
      <x:c r="M190" s="100"/>
      <x:c r="N190" s="100"/>
    </x:row>
    <x:row r="191">
      <x:c r="A191" s="98" t="str">
        <x:f>IF(B191="","",ROW()-6)</x:f>
      </x:c>
      <x:c r="B191" s="102"/>
      <x:c r="C191" s="98" t="str">
        <x:f>IF(B191="","",TEXT(B191,"yyyy/mm"))</x:f>
      </x:c>
      <x:c r="D191" s="100"/>
      <x:c r="E191" s="100"/>
      <x:c r="F191" s="100"/>
      <x:c r="G191" s="104"/>
      <x:c r="H191" s="100"/>
      <x:c r="I191" s="100"/>
      <x:c r="J191" s="104"/>
      <x:c r="K191" s="100"/>
      <x:c r="L191" s="100"/>
      <x:c r="M191" s="100"/>
      <x:c r="N191" s="100"/>
    </x:row>
    <x:row r="192">
      <x:c r="A192" s="98" t="str">
        <x:f>IF(B192="","",ROW()-6)</x:f>
      </x:c>
      <x:c r="B192" s="102"/>
      <x:c r="C192" s="98" t="str">
        <x:f>IF(B192="","",TEXT(B192,"yyyy/mm"))</x:f>
      </x:c>
      <x:c r="D192" s="100"/>
      <x:c r="E192" s="100"/>
      <x:c r="F192" s="100"/>
      <x:c r="G192" s="104"/>
      <x:c r="H192" s="100"/>
      <x:c r="I192" s="100"/>
      <x:c r="J192" s="104"/>
      <x:c r="K192" s="100"/>
      <x:c r="L192" s="100"/>
      <x:c r="M192" s="100"/>
      <x:c r="N192" s="100"/>
    </x:row>
    <x:row r="193">
      <x:c r="A193" s="98" t="str">
        <x:f>IF(B193="","",ROW()-6)</x:f>
      </x:c>
      <x:c r="B193" s="102"/>
      <x:c r="C193" s="98" t="str">
        <x:f>IF(B193="","",TEXT(B193,"yyyy/mm"))</x:f>
      </x:c>
      <x:c r="D193" s="100"/>
      <x:c r="E193" s="100"/>
      <x:c r="F193" s="100"/>
      <x:c r="G193" s="104"/>
      <x:c r="H193" s="100"/>
      <x:c r="I193" s="100"/>
      <x:c r="J193" s="104"/>
      <x:c r="K193" s="100"/>
      <x:c r="L193" s="100"/>
      <x:c r="M193" s="100"/>
      <x:c r="N193" s="100"/>
    </x:row>
    <x:row r="194">
      <x:c r="A194" s="98" t="str">
        <x:f>IF(B194="","",ROW()-6)</x:f>
      </x:c>
      <x:c r="B194" s="102"/>
      <x:c r="C194" s="98" t="str">
        <x:f>IF(B194="","",TEXT(B194,"yyyy/mm"))</x:f>
      </x:c>
      <x:c r="D194" s="100"/>
      <x:c r="E194" s="100"/>
      <x:c r="F194" s="100"/>
      <x:c r="G194" s="104"/>
      <x:c r="H194" s="100"/>
      <x:c r="I194" s="100"/>
      <x:c r="J194" s="104"/>
      <x:c r="K194" s="100"/>
      <x:c r="L194" s="100"/>
      <x:c r="M194" s="100"/>
      <x:c r="N194" s="100"/>
    </x:row>
    <x:row r="195">
      <x:c r="A195" s="98" t="str">
        <x:f>IF(B195="","",ROW()-6)</x:f>
      </x:c>
      <x:c r="B195" s="102"/>
      <x:c r="C195" s="98" t="str">
        <x:f>IF(B195="","",TEXT(B195,"yyyy/mm"))</x:f>
      </x:c>
      <x:c r="D195" s="100"/>
      <x:c r="E195" s="100"/>
      <x:c r="F195" s="100"/>
      <x:c r="G195" s="104"/>
      <x:c r="H195" s="100"/>
      <x:c r="I195" s="100"/>
      <x:c r="J195" s="104"/>
      <x:c r="K195" s="100"/>
      <x:c r="L195" s="100"/>
      <x:c r="M195" s="100"/>
      <x:c r="N195" s="100"/>
    </x:row>
    <x:row r="196">
      <x:c r="A196" s="98" t="str">
        <x:f>IF(B196="","",ROW()-6)</x:f>
      </x:c>
      <x:c r="B196" s="102"/>
      <x:c r="C196" s="98" t="str">
        <x:f>IF(B196="","",TEXT(B196,"yyyy/mm"))</x:f>
      </x:c>
      <x:c r="D196" s="100"/>
      <x:c r="E196" s="100"/>
      <x:c r="F196" s="100"/>
      <x:c r="G196" s="104"/>
      <x:c r="H196" s="100"/>
      <x:c r="I196" s="100"/>
      <x:c r="J196" s="104"/>
      <x:c r="K196" s="100"/>
      <x:c r="L196" s="100"/>
      <x:c r="M196" s="100"/>
      <x:c r="N196" s="100"/>
    </x:row>
    <x:row r="197">
      <x:c r="A197" s="98" t="str">
        <x:f>IF(B197="","",ROW()-6)</x:f>
      </x:c>
      <x:c r="B197" s="102"/>
      <x:c r="C197" s="98" t="str">
        <x:f>IF(B197="","",TEXT(B197,"yyyy/mm"))</x:f>
      </x:c>
      <x:c r="D197" s="100"/>
      <x:c r="E197" s="100"/>
      <x:c r="F197" s="100"/>
      <x:c r="G197" s="104"/>
      <x:c r="H197" s="100"/>
      <x:c r="I197" s="100"/>
      <x:c r="J197" s="104"/>
      <x:c r="K197" s="100"/>
      <x:c r="L197" s="100"/>
      <x:c r="M197" s="100"/>
      <x:c r="N197" s="100"/>
    </x:row>
    <x:row r="198">
      <x:c r="A198" s="98" t="str">
        <x:f>IF(B198="","",ROW()-6)</x:f>
      </x:c>
      <x:c r="B198" s="102"/>
      <x:c r="C198" s="98" t="str">
        <x:f>IF(B198="","",TEXT(B198,"yyyy/mm"))</x:f>
      </x:c>
      <x:c r="D198" s="100"/>
      <x:c r="E198" s="100"/>
      <x:c r="F198" s="100"/>
      <x:c r="G198" s="104"/>
      <x:c r="H198" s="100"/>
      <x:c r="I198" s="100"/>
      <x:c r="J198" s="104"/>
      <x:c r="K198" s="100"/>
      <x:c r="L198" s="100"/>
      <x:c r="M198" s="100"/>
      <x:c r="N198" s="100"/>
    </x:row>
    <x:row r="199">
      <x:c r="A199" s="98" t="str">
        <x:f>IF(B199="","",ROW()-6)</x:f>
      </x:c>
      <x:c r="B199" s="102"/>
      <x:c r="C199" s="98" t="str">
        <x:f>IF(B199="","",TEXT(B199,"yyyy/mm"))</x:f>
      </x:c>
      <x:c r="D199" s="100"/>
      <x:c r="E199" s="100"/>
      <x:c r="F199" s="100"/>
      <x:c r="G199" s="104"/>
      <x:c r="H199" s="100"/>
      <x:c r="I199" s="100"/>
      <x:c r="J199" s="104"/>
      <x:c r="K199" s="100"/>
      <x:c r="L199" s="100"/>
      <x:c r="M199" s="100"/>
      <x:c r="N199" s="100"/>
    </x:row>
    <x:row r="200">
      <x:c r="A200" s="98" t="str">
        <x:f>IF(B200="","",ROW()-6)</x:f>
      </x:c>
      <x:c r="B200" s="102"/>
      <x:c r="C200" s="98" t="str">
        <x:f>IF(B200="","",TEXT(B200,"yyyy/mm"))</x:f>
      </x:c>
      <x:c r="D200" s="100"/>
      <x:c r="E200" s="100"/>
      <x:c r="F200" s="100"/>
      <x:c r="G200" s="104"/>
      <x:c r="H200" s="100"/>
      <x:c r="I200" s="100"/>
      <x:c r="J200" s="104"/>
      <x:c r="K200" s="100"/>
      <x:c r="L200" s="100"/>
      <x:c r="M200" s="100"/>
      <x:c r="N200" s="100"/>
    </x:row>
    <x:row r="201">
      <x:c r="A201" s="98" t="str">
        <x:f>IF(B201="","",ROW()-6)</x:f>
      </x:c>
      <x:c r="B201" s="102"/>
      <x:c r="C201" s="98" t="str">
        <x:f>IF(B201="","",TEXT(B201,"yyyy/mm"))</x:f>
      </x:c>
      <x:c r="D201" s="100"/>
      <x:c r="E201" s="100"/>
      <x:c r="F201" s="100"/>
      <x:c r="G201" s="104"/>
      <x:c r="H201" s="100"/>
      <x:c r="I201" s="100"/>
      <x:c r="J201" s="104"/>
      <x:c r="K201" s="100"/>
      <x:c r="L201" s="100"/>
      <x:c r="M201" s="100"/>
      <x:c r="N201" s="100"/>
    </x:row>
    <x:row r="202">
      <x:c r="A202" s="98" t="str">
        <x:f>IF(B202="","",ROW()-6)</x:f>
      </x:c>
      <x:c r="B202" s="102"/>
      <x:c r="C202" s="98" t="str">
        <x:f>IF(B202="","",TEXT(B202,"yyyy/mm"))</x:f>
      </x:c>
      <x:c r="D202" s="100"/>
      <x:c r="E202" s="100"/>
      <x:c r="F202" s="100"/>
      <x:c r="G202" s="104"/>
      <x:c r="H202" s="100"/>
      <x:c r="I202" s="100"/>
      <x:c r="J202" s="104"/>
      <x:c r="K202" s="100"/>
      <x:c r="L202" s="100"/>
      <x:c r="M202" s="100"/>
      <x:c r="N202" s="100"/>
    </x:row>
    <x:row r="203">
      <x:c r="A203" s="98" t="str">
        <x:f>IF(B203="","",ROW()-6)</x:f>
      </x:c>
      <x:c r="B203" s="102"/>
      <x:c r="C203" s="98" t="str">
        <x:f>IF(B203="","",TEXT(B203,"yyyy/mm"))</x:f>
      </x:c>
      <x:c r="D203" s="100"/>
      <x:c r="E203" s="100"/>
      <x:c r="F203" s="100"/>
      <x:c r="G203" s="104"/>
      <x:c r="H203" s="100"/>
      <x:c r="I203" s="100"/>
      <x:c r="J203" s="104"/>
      <x:c r="K203" s="100"/>
      <x:c r="L203" s="100"/>
      <x:c r="M203" s="100"/>
      <x:c r="N203" s="100"/>
    </x:row>
    <x:row r="204">
      <x:c r="A204" s="98" t="str">
        <x:f>IF(B204="","",ROW()-6)</x:f>
      </x:c>
      <x:c r="B204" s="102"/>
      <x:c r="C204" s="98" t="str">
        <x:f>IF(B204="","",TEXT(B204,"yyyy/mm"))</x:f>
      </x:c>
      <x:c r="D204" s="100"/>
      <x:c r="E204" s="100"/>
      <x:c r="F204" s="100"/>
      <x:c r="G204" s="104"/>
      <x:c r="H204" s="100"/>
      <x:c r="I204" s="100"/>
      <x:c r="J204" s="104"/>
      <x:c r="K204" s="100"/>
      <x:c r="L204" s="100"/>
      <x:c r="M204" s="100"/>
      <x:c r="N204" s="100"/>
    </x:row>
    <x:row r="205">
      <x:c r="A205" s="98" t="str">
        <x:f>IF(B205="","",ROW()-6)</x:f>
      </x:c>
      <x:c r="B205" s="102"/>
      <x:c r="C205" s="98" t="str">
        <x:f>IF(B205="","",TEXT(B205,"yyyy/mm"))</x:f>
      </x:c>
      <x:c r="D205" s="100"/>
      <x:c r="E205" s="100"/>
      <x:c r="F205" s="100"/>
      <x:c r="G205" s="104"/>
      <x:c r="H205" s="100"/>
      <x:c r="I205" s="100"/>
      <x:c r="J205" s="104"/>
      <x:c r="K205" s="100"/>
      <x:c r="L205" s="100"/>
      <x:c r="M205" s="100"/>
      <x:c r="N205" s="100"/>
    </x:row>
    <x:row r="206">
      <x:c r="A206" s="98" t="str">
        <x:f>IF(B206="","",ROW()-6)</x:f>
      </x:c>
      <x:c r="B206" s="102"/>
      <x:c r="C206" s="98" t="str">
        <x:f>IF(B206="","",TEXT(B206,"yyyy/mm"))</x:f>
      </x:c>
      <x:c r="D206" s="100"/>
      <x:c r="E206" s="100"/>
      <x:c r="F206" s="100"/>
      <x:c r="G206" s="104"/>
      <x:c r="H206" s="100"/>
      <x:c r="I206" s="100"/>
      <x:c r="J206" s="104"/>
      <x:c r="K206" s="100"/>
      <x:c r="L206" s="100"/>
      <x:c r="M206" s="100"/>
      <x:c r="N206" s="100"/>
    </x:row>
    <x:row r="207">
      <x:c r="A207" s="98" t="str">
        <x:f>IF(B207="","",ROW()-6)</x:f>
      </x:c>
      <x:c r="B207" s="102"/>
      <x:c r="C207" s="98" t="str">
        <x:f>IF(B207="","",TEXT(B207,"yyyy/mm"))</x:f>
      </x:c>
      <x:c r="D207" s="100"/>
      <x:c r="E207" s="100"/>
      <x:c r="F207" s="100"/>
      <x:c r="G207" s="104"/>
      <x:c r="H207" s="100"/>
      <x:c r="I207" s="100"/>
      <x:c r="J207" s="104"/>
      <x:c r="K207" s="100"/>
      <x:c r="L207" s="100"/>
      <x:c r="M207" s="100"/>
      <x:c r="N207" s="100"/>
    </x:row>
    <x:row r="208">
      <x:c r="A208" s="98" t="str">
        <x:f>IF(B208="","",ROW()-6)</x:f>
      </x:c>
      <x:c r="B208" s="102"/>
      <x:c r="C208" s="98" t="str">
        <x:f>IF(B208="","",TEXT(B208,"yyyy/mm"))</x:f>
      </x:c>
      <x:c r="D208" s="100"/>
      <x:c r="E208" s="100"/>
      <x:c r="F208" s="100"/>
      <x:c r="G208" s="104"/>
      <x:c r="H208" s="100"/>
      <x:c r="I208" s="100"/>
      <x:c r="J208" s="104"/>
      <x:c r="K208" s="100"/>
      <x:c r="L208" s="100"/>
      <x:c r="M208" s="100"/>
      <x:c r="N208" s="100"/>
    </x:row>
    <x:row r="209">
      <x:c r="A209" s="98" t="str">
        <x:f>IF(B209="","",ROW()-6)</x:f>
      </x:c>
      <x:c r="B209" s="102"/>
      <x:c r="C209" s="98" t="str">
        <x:f>IF(B209="","",TEXT(B209,"yyyy/mm"))</x:f>
      </x:c>
      <x:c r="D209" s="100"/>
      <x:c r="E209" s="100"/>
      <x:c r="F209" s="100"/>
      <x:c r="G209" s="104"/>
      <x:c r="H209" s="100"/>
      <x:c r="I209" s="100"/>
      <x:c r="J209" s="104"/>
      <x:c r="K209" s="100"/>
      <x:c r="L209" s="100"/>
      <x:c r="M209" s="100"/>
      <x:c r="N209" s="100"/>
    </x:row>
    <x:row r="210">
      <x:c r="A210" s="98" t="str">
        <x:f>IF(B210="","",ROW()-6)</x:f>
      </x:c>
      <x:c r="B210" s="102"/>
      <x:c r="C210" s="98" t="str">
        <x:f>IF(B210="","",TEXT(B210,"yyyy/mm"))</x:f>
      </x:c>
      <x:c r="D210" s="100"/>
      <x:c r="E210" s="100"/>
      <x:c r="F210" s="100"/>
      <x:c r="G210" s="104"/>
      <x:c r="H210" s="100"/>
      <x:c r="I210" s="100"/>
      <x:c r="J210" s="104"/>
      <x:c r="K210" s="100"/>
      <x:c r="L210" s="100"/>
      <x:c r="M210" s="100"/>
      <x:c r="N210" s="100"/>
    </x:row>
    <x:row r="211">
      <x:c r="A211" s="98" t="str">
        <x:f>IF(B211="","",ROW()-6)</x:f>
      </x:c>
      <x:c r="B211" s="102"/>
      <x:c r="C211" s="98" t="str">
        <x:f>IF(B211="","",TEXT(B211,"yyyy/mm"))</x:f>
      </x:c>
      <x:c r="D211" s="100"/>
      <x:c r="E211" s="100"/>
      <x:c r="F211" s="100"/>
      <x:c r="G211" s="104"/>
      <x:c r="H211" s="100"/>
      <x:c r="I211" s="100"/>
      <x:c r="J211" s="104"/>
      <x:c r="K211" s="100"/>
      <x:c r="L211" s="100"/>
      <x:c r="M211" s="100"/>
      <x:c r="N211" s="100"/>
    </x:row>
    <x:row r="212">
      <x:c r="A212" s="98" t="str">
        <x:f>IF(B212="","",ROW()-6)</x:f>
      </x:c>
      <x:c r="B212" s="102"/>
      <x:c r="C212" s="98" t="str">
        <x:f>IF(B212="","",TEXT(B212,"yyyy/mm"))</x:f>
      </x:c>
      <x:c r="D212" s="100"/>
      <x:c r="E212" s="100"/>
      <x:c r="F212" s="100"/>
      <x:c r="G212" s="104"/>
      <x:c r="H212" s="100"/>
      <x:c r="I212" s="100"/>
      <x:c r="J212" s="104"/>
      <x:c r="K212" s="100"/>
      <x:c r="L212" s="100"/>
      <x:c r="M212" s="100"/>
      <x:c r="N212" s="100"/>
    </x:row>
    <x:row r="213">
      <x:c r="A213" s="98" t="str">
        <x:f>IF(B213="","",ROW()-6)</x:f>
      </x:c>
      <x:c r="B213" s="102"/>
      <x:c r="C213" s="98" t="str">
        <x:f>IF(B213="","",TEXT(B213,"yyyy/mm"))</x:f>
      </x:c>
      <x:c r="D213" s="100"/>
      <x:c r="E213" s="100"/>
      <x:c r="F213" s="100"/>
      <x:c r="G213" s="104"/>
      <x:c r="H213" s="100"/>
      <x:c r="I213" s="100"/>
      <x:c r="J213" s="104"/>
      <x:c r="K213" s="100"/>
      <x:c r="L213" s="100"/>
      <x:c r="M213" s="100"/>
      <x:c r="N213" s="100"/>
    </x:row>
    <x:row r="214">
      <x:c r="A214" s="98" t="str">
        <x:f>IF(B214="","",ROW()-6)</x:f>
      </x:c>
      <x:c r="B214" s="102"/>
      <x:c r="C214" s="98" t="str">
        <x:f>IF(B214="","",TEXT(B214,"yyyy/mm"))</x:f>
      </x:c>
      <x:c r="D214" s="100"/>
      <x:c r="E214" s="100"/>
      <x:c r="F214" s="100"/>
      <x:c r="G214" s="104"/>
      <x:c r="H214" s="100"/>
      <x:c r="I214" s="100"/>
      <x:c r="J214" s="104"/>
      <x:c r="K214" s="100"/>
      <x:c r="L214" s="100"/>
      <x:c r="M214" s="100"/>
      <x:c r="N214" s="100"/>
    </x:row>
    <x:row r="215">
      <x:c r="A215" s="98" t="str">
        <x:f>IF(B215="","",ROW()-6)</x:f>
      </x:c>
      <x:c r="B215" s="102"/>
      <x:c r="C215" s="98" t="str">
        <x:f>IF(B215="","",TEXT(B215,"yyyy/mm"))</x:f>
      </x:c>
      <x:c r="D215" s="100"/>
      <x:c r="E215" s="100"/>
      <x:c r="F215" s="100"/>
      <x:c r="G215" s="104"/>
      <x:c r="H215" s="100"/>
      <x:c r="I215" s="100"/>
      <x:c r="J215" s="104"/>
      <x:c r="K215" s="100"/>
      <x:c r="L215" s="100"/>
      <x:c r="M215" s="100"/>
      <x:c r="N215" s="100"/>
    </x:row>
    <x:row r="216">
      <x:c r="A216" s="98" t="str">
        <x:f>IF(B216="","",ROW()-6)</x:f>
      </x:c>
      <x:c r="B216" s="102"/>
      <x:c r="C216" s="98" t="str">
        <x:f>IF(B216="","",TEXT(B216,"yyyy/mm"))</x:f>
      </x:c>
      <x:c r="D216" s="100"/>
      <x:c r="E216" s="100"/>
      <x:c r="F216" s="100"/>
      <x:c r="G216" s="104"/>
      <x:c r="H216" s="100"/>
      <x:c r="I216" s="100"/>
      <x:c r="J216" s="104"/>
      <x:c r="K216" s="100"/>
      <x:c r="L216" s="100"/>
      <x:c r="M216" s="100"/>
      <x:c r="N216" s="100"/>
    </x:row>
    <x:row r="217">
      <x:c r="A217" s="98" t="str">
        <x:f>IF(B217="","",ROW()-6)</x:f>
      </x:c>
      <x:c r="B217" s="102"/>
      <x:c r="C217" s="98" t="str">
        <x:f>IF(B217="","",TEXT(B217,"yyyy/mm"))</x:f>
      </x:c>
      <x:c r="D217" s="100"/>
      <x:c r="E217" s="100"/>
      <x:c r="F217" s="100"/>
      <x:c r="G217" s="104"/>
      <x:c r="H217" s="100"/>
      <x:c r="I217" s="100"/>
      <x:c r="J217" s="104"/>
      <x:c r="K217" s="100"/>
      <x:c r="L217" s="100"/>
      <x:c r="M217" s="100"/>
      <x:c r="N217" s="100"/>
    </x:row>
    <x:row r="218">
      <x:c r="A218" s="98" t="str">
        <x:f>IF(B218="","",ROW()-6)</x:f>
      </x:c>
      <x:c r="B218" s="102"/>
      <x:c r="C218" s="98" t="str">
        <x:f>IF(B218="","",TEXT(B218,"yyyy/mm"))</x:f>
      </x:c>
      <x:c r="D218" s="100"/>
      <x:c r="E218" s="100"/>
      <x:c r="F218" s="100"/>
      <x:c r="G218" s="104"/>
      <x:c r="H218" s="100"/>
      <x:c r="I218" s="100"/>
      <x:c r="J218" s="104"/>
      <x:c r="K218" s="100"/>
      <x:c r="L218" s="100"/>
      <x:c r="M218" s="100"/>
      <x:c r="N218" s="100"/>
    </x:row>
    <x:row r="219">
      <x:c r="A219" s="98" t="str">
        <x:f>IF(B219="","",ROW()-6)</x:f>
      </x:c>
      <x:c r="B219" s="102"/>
      <x:c r="C219" s="98" t="str">
        <x:f>IF(B219="","",TEXT(B219,"yyyy/mm"))</x:f>
      </x:c>
      <x:c r="D219" s="100"/>
      <x:c r="E219" s="100"/>
      <x:c r="F219" s="100"/>
      <x:c r="G219" s="104"/>
      <x:c r="H219" s="100"/>
      <x:c r="I219" s="100"/>
      <x:c r="J219" s="104"/>
      <x:c r="K219" s="100"/>
      <x:c r="L219" s="100"/>
      <x:c r="M219" s="100"/>
      <x:c r="N219" s="100"/>
    </x:row>
    <x:row r="220">
      <x:c r="A220" s="98" t="str">
        <x:f>IF(B220="","",ROW()-6)</x:f>
      </x:c>
      <x:c r="B220" s="102"/>
      <x:c r="C220" s="98" t="str">
        <x:f>IF(B220="","",TEXT(B220,"yyyy/mm"))</x:f>
      </x:c>
      <x:c r="D220" s="100"/>
      <x:c r="E220" s="100"/>
      <x:c r="F220" s="100"/>
      <x:c r="G220" s="104"/>
      <x:c r="H220" s="100"/>
      <x:c r="I220" s="100"/>
      <x:c r="J220" s="104"/>
      <x:c r="K220" s="100"/>
      <x:c r="L220" s="100"/>
      <x:c r="M220" s="100"/>
      <x:c r="N220" s="100"/>
    </x:row>
    <x:row r="221">
      <x:c r="A221" s="98" t="str">
        <x:f>IF(B221="","",ROW()-6)</x:f>
      </x:c>
      <x:c r="B221" s="102"/>
      <x:c r="C221" s="98" t="str">
        <x:f>IF(B221="","",TEXT(B221,"yyyy/mm"))</x:f>
      </x:c>
      <x:c r="D221" s="100"/>
      <x:c r="E221" s="100"/>
      <x:c r="F221" s="100"/>
      <x:c r="G221" s="104"/>
      <x:c r="H221" s="100"/>
      <x:c r="I221" s="100"/>
      <x:c r="J221" s="104"/>
      <x:c r="K221" s="100"/>
      <x:c r="L221" s="100"/>
      <x:c r="M221" s="100"/>
      <x:c r="N221" s="100"/>
    </x:row>
    <x:row r="222">
      <x:c r="A222" s="98" t="str">
        <x:f>IF(B222="","",ROW()-6)</x:f>
      </x:c>
      <x:c r="B222" s="102"/>
      <x:c r="C222" s="98" t="str">
        <x:f>IF(B222="","",TEXT(B222,"yyyy/mm"))</x:f>
      </x:c>
      <x:c r="D222" s="100"/>
      <x:c r="E222" s="100"/>
      <x:c r="F222" s="100"/>
      <x:c r="G222" s="104"/>
      <x:c r="H222" s="100"/>
      <x:c r="I222" s="100"/>
      <x:c r="J222" s="104"/>
      <x:c r="K222" s="100"/>
      <x:c r="L222" s="100"/>
      <x:c r="M222" s="100"/>
      <x:c r="N222" s="100"/>
    </x:row>
    <x:row r="223">
      <x:c r="A223" s="98" t="str">
        <x:f>IF(B223="","",ROW()-6)</x:f>
      </x:c>
      <x:c r="B223" s="102"/>
      <x:c r="C223" s="98" t="str">
        <x:f>IF(B223="","",TEXT(B223,"yyyy/mm"))</x:f>
      </x:c>
      <x:c r="D223" s="100"/>
      <x:c r="E223" s="100"/>
      <x:c r="F223" s="100"/>
      <x:c r="G223" s="104"/>
      <x:c r="H223" s="100"/>
      <x:c r="I223" s="100"/>
      <x:c r="J223" s="104"/>
      <x:c r="K223" s="100"/>
      <x:c r="L223" s="100"/>
      <x:c r="M223" s="100"/>
      <x:c r="N223" s="100"/>
    </x:row>
    <x:row r="224">
      <x:c r="A224" s="98" t="str">
        <x:f>IF(B224="","",ROW()-6)</x:f>
      </x:c>
      <x:c r="B224" s="102"/>
      <x:c r="C224" s="98" t="str">
        <x:f>IF(B224="","",TEXT(B224,"yyyy/mm"))</x:f>
      </x:c>
      <x:c r="D224" s="100"/>
      <x:c r="E224" s="100"/>
      <x:c r="F224" s="100"/>
      <x:c r="G224" s="104"/>
      <x:c r="H224" s="100"/>
      <x:c r="I224" s="100"/>
      <x:c r="J224" s="104"/>
      <x:c r="K224" s="100"/>
      <x:c r="L224" s="100"/>
      <x:c r="M224" s="100"/>
      <x:c r="N224" s="100"/>
    </x:row>
    <x:row r="225">
      <x:c r="A225" s="98" t="str">
        <x:f>IF(B225="","",ROW()-6)</x:f>
      </x:c>
      <x:c r="B225" s="102"/>
      <x:c r="C225" s="98" t="str">
        <x:f>IF(B225="","",TEXT(B225,"yyyy/mm"))</x:f>
      </x:c>
      <x:c r="D225" s="100"/>
      <x:c r="E225" s="100"/>
      <x:c r="F225" s="100"/>
      <x:c r="G225" s="104"/>
      <x:c r="H225" s="100"/>
      <x:c r="I225" s="100"/>
      <x:c r="J225" s="104"/>
      <x:c r="K225" s="100"/>
      <x:c r="L225" s="100"/>
      <x:c r="M225" s="100"/>
      <x:c r="N225" s="100"/>
    </x:row>
    <x:row r="226">
      <x:c r="A226" s="98" t="str">
        <x:f>IF(B226="","",ROW()-6)</x:f>
      </x:c>
      <x:c r="B226" s="102"/>
      <x:c r="C226" s="98" t="str">
        <x:f>IF(B226="","",TEXT(B226,"yyyy/mm"))</x:f>
      </x:c>
      <x:c r="D226" s="100"/>
      <x:c r="E226" s="100"/>
      <x:c r="F226" s="100"/>
      <x:c r="G226" s="104"/>
      <x:c r="H226" s="100"/>
      <x:c r="I226" s="100"/>
      <x:c r="J226" s="104"/>
      <x:c r="K226" s="100"/>
      <x:c r="L226" s="100"/>
      <x:c r="M226" s="100"/>
      <x:c r="N226" s="100"/>
    </x:row>
    <x:row r="227">
      <x:c r="A227" s="98" t="str">
        <x:f>IF(B227="","",ROW()-6)</x:f>
      </x:c>
      <x:c r="B227" s="102"/>
      <x:c r="C227" s="98" t="str">
        <x:f>IF(B227="","",TEXT(B227,"yyyy/mm"))</x:f>
      </x:c>
      <x:c r="D227" s="100"/>
      <x:c r="E227" s="100"/>
      <x:c r="F227" s="100"/>
      <x:c r="G227" s="104"/>
      <x:c r="H227" s="100"/>
      <x:c r="I227" s="100"/>
      <x:c r="J227" s="104"/>
      <x:c r="K227" s="100"/>
      <x:c r="L227" s="100"/>
      <x:c r="M227" s="100"/>
      <x:c r="N227" s="100"/>
    </x:row>
    <x:row r="228">
      <x:c r="A228" s="98" t="str">
        <x:f>IF(B228="","",ROW()-6)</x:f>
      </x:c>
      <x:c r="B228" s="102"/>
      <x:c r="C228" s="98" t="str">
        <x:f>IF(B228="","",TEXT(B228,"yyyy/mm"))</x:f>
      </x:c>
      <x:c r="D228" s="100"/>
      <x:c r="E228" s="100"/>
      <x:c r="F228" s="100"/>
      <x:c r="G228" s="104"/>
      <x:c r="H228" s="100"/>
      <x:c r="I228" s="100"/>
      <x:c r="J228" s="104"/>
      <x:c r="K228" s="100"/>
      <x:c r="L228" s="100"/>
      <x:c r="M228" s="100"/>
      <x:c r="N228" s="100"/>
    </x:row>
    <x:row r="229">
      <x:c r="A229" s="98" t="str">
        <x:f>IF(B229="","",ROW()-6)</x:f>
      </x:c>
      <x:c r="B229" s="102"/>
      <x:c r="C229" s="98" t="str">
        <x:f>IF(B229="","",TEXT(B229,"yyyy/mm"))</x:f>
      </x:c>
      <x:c r="D229" s="100"/>
      <x:c r="E229" s="100"/>
      <x:c r="F229" s="100"/>
      <x:c r="G229" s="104"/>
      <x:c r="H229" s="100"/>
      <x:c r="I229" s="100"/>
      <x:c r="J229" s="104"/>
      <x:c r="K229" s="100"/>
      <x:c r="L229" s="100"/>
      <x:c r="M229" s="100"/>
      <x:c r="N229" s="100"/>
    </x:row>
    <x:row r="230">
      <x:c r="A230" s="98" t="str">
        <x:f>IF(B230="","",ROW()-6)</x:f>
      </x:c>
      <x:c r="B230" s="102"/>
      <x:c r="C230" s="98" t="str">
        <x:f>IF(B230="","",TEXT(B230,"yyyy/mm"))</x:f>
      </x:c>
      <x:c r="D230" s="100"/>
      <x:c r="E230" s="100"/>
      <x:c r="F230" s="100"/>
      <x:c r="G230" s="104"/>
      <x:c r="H230" s="100"/>
      <x:c r="I230" s="100"/>
      <x:c r="J230" s="104"/>
      <x:c r="K230" s="100"/>
      <x:c r="L230" s="100"/>
      <x:c r="M230" s="100"/>
      <x:c r="N230" s="100"/>
    </x:row>
    <x:row r="231">
      <x:c r="A231" s="98" t="str">
        <x:f>IF(B231="","",ROW()-6)</x:f>
      </x:c>
      <x:c r="B231" s="102"/>
      <x:c r="C231" s="98" t="str">
        <x:f>IF(B231="","",TEXT(B231,"yyyy/mm"))</x:f>
      </x:c>
      <x:c r="D231" s="100"/>
      <x:c r="E231" s="100"/>
      <x:c r="F231" s="100"/>
      <x:c r="G231" s="104"/>
      <x:c r="H231" s="100"/>
      <x:c r="I231" s="100"/>
      <x:c r="J231" s="104"/>
      <x:c r="K231" s="100"/>
      <x:c r="L231" s="100"/>
      <x:c r="M231" s="100"/>
      <x:c r="N231" s="100"/>
    </x:row>
    <x:row r="232">
      <x:c r="A232" s="98" t="str">
        <x:f>IF(B232="","",ROW()-6)</x:f>
      </x:c>
      <x:c r="B232" s="102"/>
      <x:c r="C232" s="98" t="str">
        <x:f>IF(B232="","",TEXT(B232,"yyyy/mm"))</x:f>
      </x:c>
      <x:c r="D232" s="100"/>
      <x:c r="E232" s="100"/>
      <x:c r="F232" s="100"/>
      <x:c r="G232" s="104"/>
      <x:c r="H232" s="100"/>
      <x:c r="I232" s="100"/>
      <x:c r="J232" s="104"/>
      <x:c r="K232" s="100"/>
      <x:c r="L232" s="100"/>
      <x:c r="M232" s="100"/>
      <x:c r="N232" s="100"/>
    </x:row>
    <x:row r="233">
      <x:c r="A233" s="98" t="str">
        <x:f>IF(B233="","",ROW()-6)</x:f>
      </x:c>
      <x:c r="B233" s="102"/>
      <x:c r="C233" s="98" t="str">
        <x:f>IF(B233="","",TEXT(B233,"yyyy/mm"))</x:f>
      </x:c>
      <x:c r="D233" s="100"/>
      <x:c r="E233" s="100"/>
      <x:c r="F233" s="100"/>
      <x:c r="G233" s="104"/>
      <x:c r="H233" s="100"/>
      <x:c r="I233" s="100"/>
      <x:c r="J233" s="104"/>
      <x:c r="K233" s="100"/>
      <x:c r="L233" s="100"/>
      <x:c r="M233" s="100"/>
      <x:c r="N233" s="100"/>
    </x:row>
    <x:row r="234">
      <x:c r="A234" s="98" t="str">
        <x:f>IF(B234="","",ROW()-6)</x:f>
      </x:c>
      <x:c r="B234" s="102"/>
      <x:c r="C234" s="98" t="str">
        <x:f>IF(B234="","",TEXT(B234,"yyyy/mm"))</x:f>
      </x:c>
      <x:c r="D234" s="100"/>
      <x:c r="E234" s="100"/>
      <x:c r="F234" s="100"/>
      <x:c r="G234" s="104"/>
      <x:c r="H234" s="100"/>
      <x:c r="I234" s="100"/>
      <x:c r="J234" s="104"/>
      <x:c r="K234" s="100"/>
      <x:c r="L234" s="100"/>
      <x:c r="M234" s="100"/>
      <x:c r="N234" s="100"/>
    </x:row>
    <x:row r="235">
      <x:c r="A235" s="98" t="str">
        <x:f>IF(B235="","",ROW()-6)</x:f>
      </x:c>
      <x:c r="B235" s="102"/>
      <x:c r="C235" s="98" t="str">
        <x:f>IF(B235="","",TEXT(B235,"yyyy/mm"))</x:f>
      </x:c>
      <x:c r="D235" s="100"/>
      <x:c r="E235" s="100"/>
      <x:c r="F235" s="100"/>
      <x:c r="G235" s="104"/>
      <x:c r="H235" s="100"/>
      <x:c r="I235" s="100"/>
      <x:c r="J235" s="104"/>
      <x:c r="K235" s="100"/>
      <x:c r="L235" s="100"/>
      <x:c r="M235" s="100"/>
      <x:c r="N235" s="100"/>
    </x:row>
    <x:row r="236">
      <x:c r="A236" s="98" t="str">
        <x:f>IF(B236="","",ROW()-6)</x:f>
      </x:c>
      <x:c r="B236" s="102"/>
      <x:c r="C236" s="98" t="str">
        <x:f>IF(B236="","",TEXT(B236,"yyyy/mm"))</x:f>
      </x:c>
      <x:c r="D236" s="100"/>
      <x:c r="E236" s="100"/>
      <x:c r="F236" s="100"/>
      <x:c r="G236" s="104"/>
      <x:c r="H236" s="100"/>
      <x:c r="I236" s="100"/>
      <x:c r="J236" s="104"/>
      <x:c r="K236" s="100"/>
      <x:c r="L236" s="100"/>
      <x:c r="M236" s="100"/>
      <x:c r="N236" s="100"/>
    </x:row>
    <x:row r="237">
      <x:c r="A237" s="98" t="str">
        <x:f>IF(B237="","",ROW()-6)</x:f>
      </x:c>
      <x:c r="B237" s="102"/>
      <x:c r="C237" s="98" t="str">
        <x:f>IF(B237="","",TEXT(B237,"yyyy/mm"))</x:f>
      </x:c>
      <x:c r="D237" s="100"/>
      <x:c r="E237" s="100"/>
      <x:c r="F237" s="100"/>
      <x:c r="G237" s="104"/>
      <x:c r="H237" s="100"/>
      <x:c r="I237" s="100"/>
      <x:c r="J237" s="104"/>
      <x:c r="K237" s="100"/>
      <x:c r="L237" s="100"/>
      <x:c r="M237" s="100"/>
      <x:c r="N237" s="100"/>
    </x:row>
    <x:row r="238">
      <x:c r="A238" s="98" t="str">
        <x:f>IF(B238="","",ROW()-6)</x:f>
      </x:c>
      <x:c r="B238" s="102"/>
      <x:c r="C238" s="98" t="str">
        <x:f>IF(B238="","",TEXT(B238,"yyyy/mm"))</x:f>
      </x:c>
      <x:c r="D238" s="100"/>
      <x:c r="E238" s="100"/>
      <x:c r="F238" s="100"/>
      <x:c r="G238" s="104"/>
      <x:c r="H238" s="100"/>
      <x:c r="I238" s="100"/>
      <x:c r="J238" s="104"/>
      <x:c r="K238" s="100"/>
      <x:c r="L238" s="100"/>
      <x:c r="M238" s="100"/>
      <x:c r="N238" s="100"/>
    </x:row>
    <x:row r="239">
      <x:c r="A239" s="98" t="str">
        <x:f>IF(B239="","",ROW()-6)</x:f>
      </x:c>
      <x:c r="B239" s="102"/>
      <x:c r="C239" s="98" t="str">
        <x:f>IF(B239="","",TEXT(B239,"yyyy/mm"))</x:f>
      </x:c>
      <x:c r="D239" s="100"/>
      <x:c r="E239" s="100"/>
      <x:c r="F239" s="100"/>
      <x:c r="G239" s="104"/>
      <x:c r="H239" s="100"/>
      <x:c r="I239" s="100"/>
      <x:c r="J239" s="104"/>
      <x:c r="K239" s="100"/>
      <x:c r="L239" s="100"/>
      <x:c r="M239" s="100"/>
      <x:c r="N239" s="100"/>
    </x:row>
    <x:row r="240">
      <x:c r="A240" s="98" t="str">
        <x:f>IF(B240="","",ROW()-6)</x:f>
      </x:c>
      <x:c r="B240" s="102"/>
      <x:c r="C240" s="98" t="str">
        <x:f>IF(B240="","",TEXT(B240,"yyyy/mm"))</x:f>
      </x:c>
      <x:c r="D240" s="100"/>
      <x:c r="E240" s="100"/>
      <x:c r="F240" s="100"/>
      <x:c r="G240" s="104"/>
      <x:c r="H240" s="100"/>
      <x:c r="I240" s="100"/>
      <x:c r="J240" s="104"/>
      <x:c r="K240" s="100"/>
      <x:c r="L240" s="100"/>
      <x:c r="M240" s="100"/>
      <x:c r="N240" s="100"/>
    </x:row>
    <x:row r="241">
      <x:c r="A241" s="98" t="str">
        <x:f>IF(B241="","",ROW()-6)</x:f>
      </x:c>
      <x:c r="B241" s="102"/>
      <x:c r="C241" s="98" t="str">
        <x:f>IF(B241="","",TEXT(B241,"yyyy/mm"))</x:f>
      </x:c>
      <x:c r="D241" s="100"/>
      <x:c r="E241" s="100"/>
      <x:c r="F241" s="100"/>
      <x:c r="G241" s="104"/>
      <x:c r="H241" s="100"/>
      <x:c r="I241" s="100"/>
      <x:c r="J241" s="104"/>
      <x:c r="K241" s="100"/>
      <x:c r="L241" s="100"/>
      <x:c r="M241" s="100"/>
      <x:c r="N241" s="100"/>
    </x:row>
    <x:row r="242">
      <x:c r="A242" s="98" t="str">
        <x:f>IF(B242="","",ROW()-6)</x:f>
      </x:c>
      <x:c r="B242" s="102"/>
      <x:c r="C242" s="98" t="str">
        <x:f>IF(B242="","",TEXT(B242,"yyyy/mm"))</x:f>
      </x:c>
      <x:c r="D242" s="100"/>
      <x:c r="E242" s="100"/>
      <x:c r="F242" s="100"/>
      <x:c r="G242" s="104"/>
      <x:c r="H242" s="100"/>
      <x:c r="I242" s="100"/>
      <x:c r="J242" s="104"/>
      <x:c r="K242" s="100"/>
      <x:c r="L242" s="100"/>
      <x:c r="M242" s="100"/>
      <x:c r="N242" s="100"/>
    </x:row>
    <x:row r="243">
      <x:c r="A243" s="98" t="str">
        <x:f>IF(B243="","",ROW()-6)</x:f>
      </x:c>
      <x:c r="B243" s="102"/>
      <x:c r="C243" s="98" t="str">
        <x:f>IF(B243="","",TEXT(B243,"yyyy/mm"))</x:f>
      </x:c>
      <x:c r="D243" s="100"/>
      <x:c r="E243" s="100"/>
      <x:c r="F243" s="100"/>
      <x:c r="G243" s="104"/>
      <x:c r="H243" s="100"/>
      <x:c r="I243" s="100"/>
      <x:c r="J243" s="104"/>
      <x:c r="K243" s="100"/>
      <x:c r="L243" s="100"/>
      <x:c r="M243" s="100"/>
      <x:c r="N243" s="100"/>
    </x:row>
    <x:row r="244">
      <x:c r="A244" s="98" t="str">
        <x:f>IF(B244="","",ROW()-6)</x:f>
      </x:c>
      <x:c r="B244" s="102"/>
      <x:c r="C244" s="98" t="str">
        <x:f>IF(B244="","",TEXT(B244,"yyyy/mm"))</x:f>
      </x:c>
      <x:c r="D244" s="100"/>
      <x:c r="E244" s="100"/>
      <x:c r="F244" s="100"/>
      <x:c r="G244" s="104"/>
      <x:c r="H244" s="100"/>
      <x:c r="I244" s="100"/>
      <x:c r="J244" s="104"/>
      <x:c r="K244" s="100"/>
      <x:c r="L244" s="100"/>
      <x:c r="M244" s="100"/>
      <x:c r="N244" s="100"/>
    </x:row>
    <x:row r="245">
      <x:c r="A245" s="98" t="str">
        <x:f>IF(B245="","",ROW()-6)</x:f>
      </x:c>
      <x:c r="B245" s="102"/>
      <x:c r="C245" s="98" t="str">
        <x:f>IF(B245="","",TEXT(B245,"yyyy/mm"))</x:f>
      </x:c>
      <x:c r="D245" s="100"/>
      <x:c r="E245" s="100"/>
      <x:c r="F245" s="100"/>
      <x:c r="G245" s="104"/>
      <x:c r="H245" s="100"/>
      <x:c r="I245" s="100"/>
      <x:c r="J245" s="104"/>
      <x:c r="K245" s="100"/>
      <x:c r="L245" s="100"/>
      <x:c r="M245" s="100"/>
      <x:c r="N245" s="100"/>
    </x:row>
    <x:row r="246">
      <x:c r="A246" s="98" t="str">
        <x:f>IF(B246="","",ROW()-6)</x:f>
      </x:c>
      <x:c r="B246" s="102"/>
      <x:c r="C246" s="98" t="str">
        <x:f>IF(B246="","",TEXT(B246,"yyyy/mm"))</x:f>
      </x:c>
      <x:c r="D246" s="100"/>
      <x:c r="E246" s="100"/>
      <x:c r="F246" s="100"/>
      <x:c r="G246" s="104"/>
      <x:c r="H246" s="100"/>
      <x:c r="I246" s="100"/>
      <x:c r="J246" s="104"/>
      <x:c r="K246" s="100"/>
      <x:c r="L246" s="100"/>
      <x:c r="M246" s="100"/>
      <x:c r="N246" s="100"/>
    </x:row>
    <x:row r="247">
      <x:c r="A247" s="98" t="str">
        <x:f>IF(B247="","",ROW()-6)</x:f>
      </x:c>
      <x:c r="B247" s="102"/>
      <x:c r="C247" s="98" t="str">
        <x:f>IF(B247="","",TEXT(B247,"yyyy/mm"))</x:f>
      </x:c>
      <x:c r="D247" s="100"/>
      <x:c r="E247" s="100"/>
      <x:c r="F247" s="100"/>
      <x:c r="G247" s="104"/>
      <x:c r="H247" s="100"/>
      <x:c r="I247" s="100"/>
      <x:c r="J247" s="104"/>
      <x:c r="K247" s="100"/>
      <x:c r="L247" s="100"/>
      <x:c r="M247" s="100"/>
      <x:c r="N247" s="100"/>
    </x:row>
    <x:row r="248">
      <x:c r="A248" s="98" t="str">
        <x:f>IF(B248="","",ROW()-6)</x:f>
      </x:c>
      <x:c r="B248" s="102"/>
      <x:c r="C248" s="98" t="str">
        <x:f>IF(B248="","",TEXT(B248,"yyyy/mm"))</x:f>
      </x:c>
      <x:c r="D248" s="100"/>
      <x:c r="E248" s="100"/>
      <x:c r="F248" s="100"/>
      <x:c r="G248" s="104"/>
      <x:c r="H248" s="100"/>
      <x:c r="I248" s="100"/>
      <x:c r="J248" s="104"/>
      <x:c r="K248" s="100"/>
      <x:c r="L248" s="100"/>
      <x:c r="M248" s="100"/>
      <x:c r="N248" s="100"/>
    </x:row>
    <x:row r="249">
      <x:c r="A249" s="98" t="str">
        <x:f>IF(B249="","",ROW()-6)</x:f>
      </x:c>
      <x:c r="B249" s="102"/>
      <x:c r="C249" s="98" t="str">
        <x:f>IF(B249="","",TEXT(B249,"yyyy/mm"))</x:f>
      </x:c>
      <x:c r="D249" s="100"/>
      <x:c r="E249" s="100"/>
      <x:c r="F249" s="100"/>
      <x:c r="G249" s="104"/>
      <x:c r="H249" s="100"/>
      <x:c r="I249" s="100"/>
      <x:c r="J249" s="104"/>
      <x:c r="K249" s="100"/>
      <x:c r="L249" s="100"/>
      <x:c r="M249" s="100"/>
      <x:c r="N249" s="100"/>
    </x:row>
    <x:row r="250">
      <x:c r="A250" s="98" t="str">
        <x:f>IF(B250="","",ROW()-6)</x:f>
      </x:c>
      <x:c r="B250" s="102"/>
      <x:c r="C250" s="98" t="str">
        <x:f>IF(B250="","",TEXT(B250,"yyyy/mm"))</x:f>
      </x:c>
      <x:c r="D250" s="100"/>
      <x:c r="E250" s="100"/>
      <x:c r="F250" s="100"/>
      <x:c r="G250" s="104"/>
      <x:c r="H250" s="100"/>
      <x:c r="I250" s="100"/>
      <x:c r="J250" s="104"/>
      <x:c r="K250" s="100"/>
      <x:c r="L250" s="100"/>
      <x:c r="M250" s="100"/>
      <x:c r="N250" s="100"/>
    </x:row>
    <x:row r="251">
      <x:c r="A251" s="98" t="str">
        <x:f>IF(B251="","",ROW()-6)</x:f>
      </x:c>
      <x:c r="B251" s="102"/>
      <x:c r="C251" s="98" t="str">
        <x:f>IF(B251="","",TEXT(B251,"yyyy/mm"))</x:f>
      </x:c>
      <x:c r="D251" s="100"/>
      <x:c r="E251" s="100"/>
      <x:c r="F251" s="100"/>
      <x:c r="G251" s="104"/>
      <x:c r="H251" s="100"/>
      <x:c r="I251" s="100"/>
      <x:c r="J251" s="104"/>
      <x:c r="K251" s="100"/>
      <x:c r="L251" s="100"/>
      <x:c r="M251" s="100"/>
      <x:c r="N251" s="100"/>
    </x:row>
    <x:row r="252">
      <x:c r="A252" s="98" t="str">
        <x:f>IF(B252="","",ROW()-6)</x:f>
      </x:c>
      <x:c r="B252" s="102"/>
      <x:c r="C252" s="98" t="str">
        <x:f>IF(B252="","",TEXT(B252,"yyyy/mm"))</x:f>
      </x:c>
      <x:c r="D252" s="100"/>
      <x:c r="E252" s="100"/>
      <x:c r="F252" s="100"/>
      <x:c r="G252" s="104"/>
      <x:c r="H252" s="100"/>
      <x:c r="I252" s="100"/>
      <x:c r="J252" s="104"/>
      <x:c r="K252" s="100"/>
      <x:c r="L252" s="100"/>
      <x:c r="M252" s="100"/>
      <x:c r="N252" s="100"/>
    </x:row>
    <x:row r="253">
      <x:c r="A253" s="98" t="str">
        <x:f>IF(B253="","",ROW()-6)</x:f>
      </x:c>
      <x:c r="B253" s="102"/>
      <x:c r="C253" s="98" t="str">
        <x:f>IF(B253="","",TEXT(B253,"yyyy/mm"))</x:f>
      </x:c>
      <x:c r="D253" s="100"/>
      <x:c r="E253" s="100"/>
      <x:c r="F253" s="100"/>
      <x:c r="G253" s="104"/>
      <x:c r="H253" s="100"/>
      <x:c r="I253" s="100"/>
      <x:c r="J253" s="104"/>
      <x:c r="K253" s="100"/>
      <x:c r="L253" s="100"/>
      <x:c r="M253" s="100"/>
      <x:c r="N253" s="100"/>
    </x:row>
    <x:row r="254">
      <x:c r="A254" s="98" t="str">
        <x:f>IF(B254="","",ROW()-6)</x:f>
      </x:c>
      <x:c r="B254" s="102"/>
      <x:c r="C254" s="98" t="str">
        <x:f>IF(B254="","",TEXT(B254,"yyyy/mm"))</x:f>
      </x:c>
      <x:c r="D254" s="100"/>
      <x:c r="E254" s="100"/>
      <x:c r="F254" s="100"/>
      <x:c r="G254" s="104"/>
      <x:c r="H254" s="100"/>
      <x:c r="I254" s="100"/>
      <x:c r="J254" s="104"/>
      <x:c r="K254" s="100"/>
      <x:c r="L254" s="100"/>
      <x:c r="M254" s="100"/>
      <x:c r="N254" s="100"/>
    </x:row>
    <x:row r="255">
      <x:c r="A255" s="98" t="str">
        <x:f>IF(B255="","",ROW()-6)</x:f>
      </x:c>
      <x:c r="B255" s="102"/>
      <x:c r="C255" s="98" t="str">
        <x:f>IF(B255="","",TEXT(B255,"yyyy/mm"))</x:f>
      </x:c>
      <x:c r="D255" s="100"/>
      <x:c r="E255" s="100"/>
      <x:c r="F255" s="100"/>
      <x:c r="G255" s="104"/>
      <x:c r="H255" s="100"/>
      <x:c r="I255" s="100"/>
      <x:c r="J255" s="104"/>
      <x:c r="K255" s="100"/>
      <x:c r="L255" s="100"/>
      <x:c r="M255" s="100"/>
      <x:c r="N255" s="100"/>
    </x:row>
    <x:row r="256">
      <x:c r="A256" s="98" t="str">
        <x:f>IF(B256="","",ROW()-6)</x:f>
      </x:c>
      <x:c r="B256" s="102"/>
      <x:c r="C256" s="98" t="str">
        <x:f>IF(B256="","",TEXT(B256,"yyyy/mm"))</x:f>
      </x:c>
      <x:c r="D256" s="100"/>
      <x:c r="E256" s="100"/>
      <x:c r="F256" s="100"/>
      <x:c r="G256" s="104"/>
      <x:c r="H256" s="100"/>
      <x:c r="I256" s="100"/>
      <x:c r="J256" s="104"/>
      <x:c r="K256" s="100"/>
      <x:c r="L256" s="100"/>
      <x:c r="M256" s="100"/>
      <x:c r="N256" s="100"/>
    </x:row>
    <x:row r="257">
      <x:c r="A257" s="98" t="str">
        <x:f>IF(B257="","",ROW()-6)</x:f>
      </x:c>
      <x:c r="B257" s="102"/>
      <x:c r="C257" s="98" t="str">
        <x:f>IF(B257="","",TEXT(B257,"yyyy/mm"))</x:f>
      </x:c>
      <x:c r="D257" s="100"/>
      <x:c r="E257" s="100"/>
      <x:c r="F257" s="100"/>
      <x:c r="G257" s="104"/>
      <x:c r="H257" s="100"/>
      <x:c r="I257" s="100"/>
      <x:c r="J257" s="104"/>
      <x:c r="K257" s="100"/>
      <x:c r="L257" s="100"/>
      <x:c r="M257" s="100"/>
      <x:c r="N257" s="100"/>
    </x:row>
    <x:row r="258">
      <x:c r="A258" s="98" t="str">
        <x:f>IF(B258="","",ROW()-6)</x:f>
      </x:c>
      <x:c r="B258" s="102"/>
      <x:c r="C258" s="98" t="str">
        <x:f>IF(B258="","",TEXT(B258,"yyyy/mm"))</x:f>
      </x:c>
      <x:c r="D258" s="100"/>
      <x:c r="E258" s="100"/>
      <x:c r="F258" s="100"/>
      <x:c r="G258" s="104"/>
      <x:c r="H258" s="100"/>
      <x:c r="I258" s="100"/>
      <x:c r="J258" s="104"/>
      <x:c r="K258" s="100"/>
      <x:c r="L258" s="100"/>
      <x:c r="M258" s="100"/>
      <x:c r="N258" s="100"/>
    </x:row>
    <x:row r="259">
      <x:c r="A259" s="98" t="str">
        <x:f>IF(B259="","",ROW()-6)</x:f>
      </x:c>
      <x:c r="B259" s="102"/>
      <x:c r="C259" s="98" t="str">
        <x:f>IF(B259="","",TEXT(B259,"yyyy/mm"))</x:f>
      </x:c>
      <x:c r="D259" s="100"/>
      <x:c r="E259" s="100"/>
      <x:c r="F259" s="100"/>
      <x:c r="G259" s="104"/>
      <x:c r="H259" s="100"/>
      <x:c r="I259" s="100"/>
      <x:c r="J259" s="104"/>
      <x:c r="K259" s="100"/>
      <x:c r="L259" s="100"/>
      <x:c r="M259" s="100"/>
      <x:c r="N259" s="100"/>
    </x:row>
    <x:row r="260">
      <x:c r="A260" s="98" t="str">
        <x:f>IF(B260="","",ROW()-6)</x:f>
      </x:c>
      <x:c r="B260" s="102"/>
      <x:c r="C260" s="98" t="str">
        <x:f>IF(B260="","",TEXT(B260,"yyyy/mm"))</x:f>
      </x:c>
      <x:c r="D260" s="100"/>
      <x:c r="E260" s="100"/>
      <x:c r="F260" s="100"/>
      <x:c r="G260" s="104"/>
      <x:c r="H260" s="100"/>
      <x:c r="I260" s="100"/>
      <x:c r="J260" s="104"/>
      <x:c r="K260" s="100"/>
      <x:c r="L260" s="100"/>
      <x:c r="M260" s="100"/>
      <x:c r="N260" s="100"/>
    </x:row>
    <x:row r="261">
      <x:c r="A261" s="98" t="str">
        <x:f>IF(B261="","",ROW()-6)</x:f>
      </x:c>
      <x:c r="B261" s="102"/>
      <x:c r="C261" s="98" t="str">
        <x:f>IF(B261="","",TEXT(B261,"yyyy/mm"))</x:f>
      </x:c>
      <x:c r="D261" s="100"/>
      <x:c r="E261" s="100"/>
      <x:c r="F261" s="100"/>
      <x:c r="G261" s="104"/>
      <x:c r="H261" s="100"/>
      <x:c r="I261" s="100"/>
      <x:c r="J261" s="104"/>
      <x:c r="K261" s="100"/>
      <x:c r="L261" s="100"/>
      <x:c r="M261" s="100"/>
      <x:c r="N261" s="100"/>
    </x:row>
    <x:row r="262">
      <x:c r="A262" s="98" t="str">
        <x:f>IF(B262="","",ROW()-6)</x:f>
      </x:c>
      <x:c r="B262" s="102"/>
      <x:c r="C262" s="98" t="str">
        <x:f>IF(B262="","",TEXT(B262,"yyyy/mm"))</x:f>
      </x:c>
      <x:c r="D262" s="100"/>
      <x:c r="E262" s="100"/>
      <x:c r="F262" s="100"/>
      <x:c r="G262" s="104"/>
      <x:c r="H262" s="100"/>
      <x:c r="I262" s="100"/>
      <x:c r="J262" s="104"/>
      <x:c r="K262" s="100"/>
      <x:c r="L262" s="100"/>
      <x:c r="M262" s="100"/>
      <x:c r="N262" s="100"/>
    </x:row>
    <x:row r="263">
      <x:c r="A263" s="98" t="str">
        <x:f>IF(B263="","",ROW()-6)</x:f>
      </x:c>
      <x:c r="B263" s="102"/>
      <x:c r="C263" s="98" t="str">
        <x:f>IF(B263="","",TEXT(B263,"yyyy/mm"))</x:f>
      </x:c>
      <x:c r="D263" s="100"/>
      <x:c r="E263" s="100"/>
      <x:c r="F263" s="100"/>
      <x:c r="G263" s="104"/>
      <x:c r="H263" s="100"/>
      <x:c r="I263" s="100"/>
      <x:c r="J263" s="104"/>
      <x:c r="K263" s="100"/>
      <x:c r="L263" s="100"/>
      <x:c r="M263" s="100"/>
      <x:c r="N263" s="100"/>
    </x:row>
    <x:row r="264">
      <x:c r="A264" s="98" t="str">
        <x:f>IF(B264="","",ROW()-6)</x:f>
      </x:c>
      <x:c r="B264" s="102"/>
      <x:c r="C264" s="98" t="str">
        <x:f>IF(B264="","",TEXT(B264,"yyyy/mm"))</x:f>
      </x:c>
      <x:c r="D264" s="100"/>
      <x:c r="E264" s="100"/>
      <x:c r="F264" s="100"/>
      <x:c r="G264" s="104"/>
      <x:c r="H264" s="100"/>
      <x:c r="I264" s="100"/>
      <x:c r="J264" s="104"/>
      <x:c r="K264" s="100"/>
      <x:c r="L264" s="100"/>
      <x:c r="M264" s="100"/>
      <x:c r="N264" s="100"/>
    </x:row>
    <x:row r="265">
      <x:c r="A265" s="98" t="str">
        <x:f>IF(B265="","",ROW()-6)</x:f>
      </x:c>
      <x:c r="B265" s="102"/>
      <x:c r="C265" s="98" t="str">
        <x:f>IF(B265="","",TEXT(B265,"yyyy/mm"))</x:f>
      </x:c>
      <x:c r="D265" s="100"/>
      <x:c r="E265" s="100"/>
      <x:c r="F265" s="100"/>
      <x:c r="G265" s="104"/>
      <x:c r="H265" s="100"/>
      <x:c r="I265" s="100"/>
      <x:c r="J265" s="104"/>
      <x:c r="K265" s="100"/>
      <x:c r="L265" s="100"/>
      <x:c r="M265" s="100"/>
      <x:c r="N265" s="100"/>
    </x:row>
    <x:row r="266">
      <x:c r="A266" s="98" t="str">
        <x:f>IF(B266="","",ROW()-6)</x:f>
      </x:c>
      <x:c r="B266" s="102"/>
      <x:c r="C266" s="98" t="str">
        <x:f>IF(B266="","",TEXT(B266,"yyyy/mm"))</x:f>
      </x:c>
      <x:c r="D266" s="100"/>
      <x:c r="E266" s="100"/>
      <x:c r="F266" s="100"/>
      <x:c r="G266" s="104"/>
      <x:c r="H266" s="100"/>
      <x:c r="I266" s="100"/>
      <x:c r="J266" s="104"/>
      <x:c r="K266" s="100"/>
      <x:c r="L266" s="100"/>
      <x:c r="M266" s="100"/>
      <x:c r="N266" s="100"/>
    </x:row>
    <x:row r="267">
      <x:c r="A267" s="98" t="str">
        <x:f>IF(B267="","",ROW()-6)</x:f>
      </x:c>
      <x:c r="B267" s="102"/>
      <x:c r="C267" s="98" t="str">
        <x:f>IF(B267="","",TEXT(B267,"yyyy/mm"))</x:f>
      </x:c>
      <x:c r="D267" s="100"/>
      <x:c r="E267" s="100"/>
      <x:c r="F267" s="100"/>
      <x:c r="G267" s="104"/>
      <x:c r="H267" s="100"/>
      <x:c r="I267" s="100"/>
      <x:c r="J267" s="104"/>
      <x:c r="K267" s="100"/>
      <x:c r="L267" s="100"/>
      <x:c r="M267" s="100"/>
      <x:c r="N267" s="100"/>
    </x:row>
    <x:row r="268">
      <x:c r="A268" s="98" t="str">
        <x:f>IF(B268="","",ROW()-6)</x:f>
      </x:c>
      <x:c r="B268" s="102"/>
      <x:c r="C268" s="98" t="str">
        <x:f>IF(B268="","",TEXT(B268,"yyyy/mm"))</x:f>
      </x:c>
      <x:c r="D268" s="100"/>
      <x:c r="E268" s="100"/>
      <x:c r="F268" s="100"/>
      <x:c r="G268" s="104"/>
      <x:c r="H268" s="100"/>
      <x:c r="I268" s="100"/>
      <x:c r="J268" s="104"/>
      <x:c r="K268" s="100"/>
      <x:c r="L268" s="100"/>
      <x:c r="M268" s="100"/>
      <x:c r="N268" s="100"/>
    </x:row>
    <x:row r="269">
      <x:c r="A269" s="98" t="str">
        <x:f>IF(B269="","",ROW()-6)</x:f>
      </x:c>
      <x:c r="B269" s="102"/>
      <x:c r="C269" s="98" t="str">
        <x:f>IF(B269="","",TEXT(B269,"yyyy/mm"))</x:f>
      </x:c>
      <x:c r="D269" s="100"/>
      <x:c r="E269" s="100"/>
      <x:c r="F269" s="100"/>
      <x:c r="G269" s="104"/>
      <x:c r="H269" s="100"/>
      <x:c r="I269" s="100"/>
      <x:c r="J269" s="104"/>
      <x:c r="K269" s="100"/>
      <x:c r="L269" s="100"/>
      <x:c r="M269" s="100"/>
      <x:c r="N269" s="100"/>
    </x:row>
    <x:row r="270">
      <x:c r="A270" s="98" t="str">
        <x:f>IF(B270="","",ROW()-6)</x:f>
      </x:c>
      <x:c r="B270" s="102"/>
      <x:c r="C270" s="98" t="str">
        <x:f>IF(B270="","",TEXT(B270,"yyyy/mm"))</x:f>
      </x:c>
      <x:c r="D270" s="100"/>
      <x:c r="E270" s="100"/>
      <x:c r="F270" s="100"/>
      <x:c r="G270" s="104"/>
      <x:c r="H270" s="100"/>
      <x:c r="I270" s="100"/>
      <x:c r="J270" s="104"/>
      <x:c r="K270" s="100"/>
      <x:c r="L270" s="100"/>
      <x:c r="M270" s="100"/>
      <x:c r="N270" s="100"/>
    </x:row>
    <x:row r="271">
      <x:c r="A271" s="98" t="str">
        <x:f>IF(B271="","",ROW()-6)</x:f>
      </x:c>
      <x:c r="B271" s="102"/>
      <x:c r="C271" s="98" t="str">
        <x:f>IF(B271="","",TEXT(B271,"yyyy/mm"))</x:f>
      </x:c>
      <x:c r="D271" s="100"/>
      <x:c r="E271" s="100"/>
      <x:c r="F271" s="100"/>
      <x:c r="G271" s="104"/>
      <x:c r="H271" s="100"/>
      <x:c r="I271" s="100"/>
      <x:c r="J271" s="104"/>
      <x:c r="K271" s="100"/>
      <x:c r="L271" s="100"/>
      <x:c r="M271" s="100"/>
      <x:c r="N271" s="100"/>
    </x:row>
    <x:row r="272">
      <x:c r="A272" s="98" t="str">
        <x:f>IF(B272="","",ROW()-6)</x:f>
      </x:c>
      <x:c r="B272" s="102"/>
      <x:c r="C272" s="98" t="str">
        <x:f>IF(B272="","",TEXT(B272,"yyyy/mm"))</x:f>
      </x:c>
      <x:c r="D272" s="100"/>
      <x:c r="E272" s="100"/>
      <x:c r="F272" s="100"/>
      <x:c r="G272" s="104"/>
      <x:c r="H272" s="100"/>
      <x:c r="I272" s="100"/>
      <x:c r="J272" s="104"/>
      <x:c r="K272" s="100"/>
      <x:c r="L272" s="100"/>
      <x:c r="M272" s="100"/>
      <x:c r="N272" s="100"/>
    </x:row>
    <x:row r="273">
      <x:c r="A273" s="98" t="str">
        <x:f>IF(B273="","",ROW()-6)</x:f>
      </x:c>
      <x:c r="B273" s="102"/>
      <x:c r="C273" s="98" t="str">
        <x:f>IF(B273="","",TEXT(B273,"yyyy/mm"))</x:f>
      </x:c>
      <x:c r="D273" s="100"/>
      <x:c r="E273" s="100"/>
      <x:c r="F273" s="100"/>
      <x:c r="G273" s="104"/>
      <x:c r="H273" s="100"/>
      <x:c r="I273" s="100"/>
      <x:c r="J273" s="104"/>
      <x:c r="K273" s="100"/>
      <x:c r="L273" s="100"/>
      <x:c r="M273" s="100"/>
      <x:c r="N273" s="100"/>
    </x:row>
    <x:row r="274">
      <x:c r="A274" s="98" t="str">
        <x:f>IF(B274="","",ROW()-6)</x:f>
      </x:c>
      <x:c r="B274" s="102"/>
      <x:c r="C274" s="98" t="str">
        <x:f>IF(B274="","",TEXT(B274,"yyyy/mm"))</x:f>
      </x:c>
      <x:c r="D274" s="100"/>
      <x:c r="E274" s="100"/>
      <x:c r="F274" s="100"/>
      <x:c r="G274" s="104"/>
      <x:c r="H274" s="100"/>
      <x:c r="I274" s="100"/>
      <x:c r="J274" s="104"/>
      <x:c r="K274" s="100"/>
      <x:c r="L274" s="100"/>
      <x:c r="M274" s="100"/>
      <x:c r="N274" s="100"/>
    </x:row>
    <x:row r="275">
      <x:c r="A275" s="98" t="str">
        <x:f>IF(B275="","",ROW()-6)</x:f>
      </x:c>
      <x:c r="B275" s="102"/>
      <x:c r="C275" s="98" t="str">
        <x:f>IF(B275="","",TEXT(B275,"yyyy/mm"))</x:f>
      </x:c>
      <x:c r="D275" s="100"/>
      <x:c r="E275" s="100"/>
      <x:c r="F275" s="100"/>
      <x:c r="G275" s="104"/>
      <x:c r="H275" s="100"/>
      <x:c r="I275" s="100"/>
      <x:c r="J275" s="104"/>
      <x:c r="K275" s="100"/>
      <x:c r="L275" s="100"/>
      <x:c r="M275" s="100"/>
      <x:c r="N275" s="100"/>
    </x:row>
    <x:row r="276">
      <x:c r="A276" s="98" t="str">
        <x:f>IF(B276="","",ROW()-6)</x:f>
      </x:c>
      <x:c r="B276" s="102"/>
      <x:c r="C276" s="98" t="str">
        <x:f>IF(B276="","",TEXT(B276,"yyyy/mm"))</x:f>
      </x:c>
      <x:c r="D276" s="100"/>
      <x:c r="E276" s="100"/>
      <x:c r="F276" s="100"/>
      <x:c r="G276" s="104"/>
      <x:c r="H276" s="100"/>
      <x:c r="I276" s="100"/>
      <x:c r="J276" s="104"/>
      <x:c r="K276" s="100"/>
      <x:c r="L276" s="100"/>
      <x:c r="M276" s="100"/>
      <x:c r="N276" s="100"/>
    </x:row>
    <x:row r="277">
      <x:c r="A277" s="98" t="str">
        <x:f>IF(B277="","",ROW()-6)</x:f>
      </x:c>
      <x:c r="B277" s="102"/>
      <x:c r="C277" s="98" t="str">
        <x:f>IF(B277="","",TEXT(B277,"yyyy/mm"))</x:f>
      </x:c>
      <x:c r="D277" s="100"/>
      <x:c r="E277" s="100"/>
      <x:c r="F277" s="100"/>
      <x:c r="G277" s="104"/>
      <x:c r="H277" s="100"/>
      <x:c r="I277" s="100"/>
      <x:c r="J277" s="104"/>
      <x:c r="K277" s="100"/>
      <x:c r="L277" s="100"/>
      <x:c r="M277" s="100"/>
      <x:c r="N277" s="100"/>
    </x:row>
    <x:row r="278">
      <x:c r="A278" s="98" t="str">
        <x:f>IF(B278="","",ROW()-6)</x:f>
      </x:c>
      <x:c r="B278" s="102"/>
      <x:c r="C278" s="98" t="str">
        <x:f>IF(B278="","",TEXT(B278,"yyyy/mm"))</x:f>
      </x:c>
      <x:c r="D278" s="100"/>
      <x:c r="E278" s="100"/>
      <x:c r="F278" s="100"/>
      <x:c r="G278" s="104"/>
      <x:c r="H278" s="100"/>
      <x:c r="I278" s="100"/>
      <x:c r="J278" s="104"/>
      <x:c r="K278" s="100"/>
      <x:c r="L278" s="100"/>
      <x:c r="M278" s="100"/>
      <x:c r="N278" s="100"/>
    </x:row>
    <x:row r="279">
      <x:c r="A279" s="98" t="str">
        <x:f>IF(B279="","",ROW()-6)</x:f>
      </x:c>
      <x:c r="B279" s="102"/>
      <x:c r="C279" s="98" t="str">
        <x:f>IF(B279="","",TEXT(B279,"yyyy/mm"))</x:f>
      </x:c>
      <x:c r="D279" s="100"/>
      <x:c r="E279" s="100"/>
      <x:c r="F279" s="100"/>
      <x:c r="G279" s="104"/>
      <x:c r="H279" s="100"/>
      <x:c r="I279" s="100"/>
      <x:c r="J279" s="104"/>
      <x:c r="K279" s="100"/>
      <x:c r="L279" s="100"/>
      <x:c r="M279" s="100"/>
      <x:c r="N279" s="100"/>
    </x:row>
    <x:row r="280">
      <x:c r="A280" s="98" t="str">
        <x:f>IF(B280="","",ROW()-6)</x:f>
      </x:c>
      <x:c r="B280" s="102"/>
      <x:c r="C280" s="98" t="str">
        <x:f>IF(B280="","",TEXT(B280,"yyyy/mm"))</x:f>
      </x:c>
      <x:c r="D280" s="100"/>
      <x:c r="E280" s="100"/>
      <x:c r="F280" s="100"/>
      <x:c r="G280" s="104"/>
      <x:c r="H280" s="100"/>
      <x:c r="I280" s="100"/>
      <x:c r="J280" s="104"/>
      <x:c r="K280" s="100"/>
      <x:c r="L280" s="100"/>
      <x:c r="M280" s="100"/>
      <x:c r="N280" s="100"/>
    </x:row>
    <x:row r="281">
      <x:c r="A281" s="98" t="str">
        <x:f>IF(B281="","",ROW()-6)</x:f>
      </x:c>
      <x:c r="B281" s="102"/>
      <x:c r="C281" s="98" t="str">
        <x:f>IF(B281="","",TEXT(B281,"yyyy/mm"))</x:f>
      </x:c>
      <x:c r="D281" s="100"/>
      <x:c r="E281" s="100"/>
      <x:c r="F281" s="100"/>
      <x:c r="G281" s="104"/>
      <x:c r="H281" s="100"/>
      <x:c r="I281" s="100"/>
      <x:c r="J281" s="104"/>
      <x:c r="K281" s="100"/>
      <x:c r="L281" s="100"/>
      <x:c r="M281" s="100"/>
      <x:c r="N281" s="100"/>
    </x:row>
    <x:row r="282">
      <x:c r="A282" s="98" t="str">
        <x:f>IF(B282="","",ROW()-6)</x:f>
      </x:c>
      <x:c r="B282" s="102"/>
      <x:c r="C282" s="98" t="str">
        <x:f>IF(B282="","",TEXT(B282,"yyyy/mm"))</x:f>
      </x:c>
      <x:c r="D282" s="100"/>
      <x:c r="E282" s="100"/>
      <x:c r="F282" s="100"/>
      <x:c r="G282" s="104"/>
      <x:c r="H282" s="100"/>
      <x:c r="I282" s="100"/>
      <x:c r="J282" s="104"/>
      <x:c r="K282" s="100"/>
      <x:c r="L282" s="100"/>
      <x:c r="M282" s="100"/>
      <x:c r="N282" s="100"/>
    </x:row>
    <x:row r="283">
      <x:c r="A283" s="98" t="str">
        <x:f>IF(B283="","",ROW()-6)</x:f>
      </x:c>
      <x:c r="B283" s="102"/>
      <x:c r="C283" s="98" t="str">
        <x:f>IF(B283="","",TEXT(B283,"yyyy/mm"))</x:f>
      </x:c>
      <x:c r="D283" s="100"/>
      <x:c r="E283" s="100"/>
      <x:c r="F283" s="100"/>
      <x:c r="G283" s="104"/>
      <x:c r="H283" s="100"/>
      <x:c r="I283" s="100"/>
      <x:c r="J283" s="104"/>
      <x:c r="K283" s="100"/>
      <x:c r="L283" s="100"/>
      <x:c r="M283" s="100"/>
      <x:c r="N283" s="100"/>
    </x:row>
    <x:row r="284">
      <x:c r="A284" s="98" t="str">
        <x:f>IF(B284="","",ROW()-6)</x:f>
      </x:c>
      <x:c r="B284" s="102"/>
      <x:c r="C284" s="98" t="str">
        <x:f>IF(B284="","",TEXT(B284,"yyyy/mm"))</x:f>
      </x:c>
      <x:c r="D284" s="100"/>
      <x:c r="E284" s="100"/>
      <x:c r="F284" s="100"/>
      <x:c r="G284" s="104"/>
      <x:c r="H284" s="100"/>
      <x:c r="I284" s="100"/>
      <x:c r="J284" s="104"/>
      <x:c r="K284" s="100"/>
      <x:c r="L284" s="100"/>
      <x:c r="M284" s="100"/>
      <x:c r="N284" s="100"/>
    </x:row>
    <x:row r="285">
      <x:c r="A285" s="98" t="str">
        <x:f>IF(B285="","",ROW()-6)</x:f>
      </x:c>
      <x:c r="B285" s="102"/>
      <x:c r="C285" s="98" t="str">
        <x:f>IF(B285="","",TEXT(B285,"yyyy/mm"))</x:f>
      </x:c>
      <x:c r="D285" s="100"/>
      <x:c r="E285" s="100"/>
      <x:c r="F285" s="100"/>
      <x:c r="G285" s="104"/>
      <x:c r="H285" s="100"/>
      <x:c r="I285" s="100"/>
      <x:c r="J285" s="104"/>
      <x:c r="K285" s="100"/>
      <x:c r="L285" s="100"/>
      <x:c r="M285" s="100"/>
      <x:c r="N285" s="100"/>
    </x:row>
    <x:row r="286">
      <x:c r="A286" s="98" t="str">
        <x:f>IF(B286="","",ROW()-6)</x:f>
      </x:c>
      <x:c r="B286" s="102"/>
      <x:c r="C286" s="98" t="str">
        <x:f>IF(B286="","",TEXT(B286,"yyyy/mm"))</x:f>
      </x:c>
      <x:c r="D286" s="100"/>
      <x:c r="E286" s="100"/>
      <x:c r="F286" s="100"/>
      <x:c r="G286" s="104"/>
      <x:c r="H286" s="100"/>
      <x:c r="I286" s="100"/>
      <x:c r="J286" s="104"/>
      <x:c r="K286" s="100"/>
      <x:c r="L286" s="100"/>
      <x:c r="M286" s="100"/>
      <x:c r="N286" s="100"/>
    </x:row>
    <x:row r="287">
      <x:c r="A287" s="98" t="str">
        <x:f>IF(B287="","",ROW()-6)</x:f>
      </x:c>
      <x:c r="B287" s="102"/>
      <x:c r="C287" s="98" t="str">
        <x:f>IF(B287="","",TEXT(B287,"yyyy/mm"))</x:f>
      </x:c>
      <x:c r="D287" s="100"/>
      <x:c r="E287" s="100"/>
      <x:c r="F287" s="100"/>
      <x:c r="G287" s="104"/>
      <x:c r="H287" s="100"/>
      <x:c r="I287" s="100"/>
      <x:c r="J287" s="104"/>
      <x:c r="K287" s="100"/>
      <x:c r="L287" s="100"/>
      <x:c r="M287" s="100"/>
      <x:c r="N287" s="100"/>
    </x:row>
    <x:row r="288">
      <x:c r="A288" s="98" t="str">
        <x:f>IF(B288="","",ROW()-6)</x:f>
      </x:c>
      <x:c r="B288" s="102"/>
      <x:c r="C288" s="98" t="str">
        <x:f>IF(B288="","",TEXT(B288,"yyyy/mm"))</x:f>
      </x:c>
      <x:c r="D288" s="100"/>
      <x:c r="E288" s="100"/>
      <x:c r="F288" s="100"/>
      <x:c r="G288" s="104"/>
      <x:c r="H288" s="100"/>
      <x:c r="I288" s="100"/>
      <x:c r="J288" s="104"/>
      <x:c r="K288" s="100"/>
      <x:c r="L288" s="100"/>
      <x:c r="M288" s="100"/>
      <x:c r="N288" s="100"/>
    </x:row>
    <x:row r="289">
      <x:c r="A289" s="98" t="str">
        <x:f>IF(B289="","",ROW()-6)</x:f>
      </x:c>
      <x:c r="B289" s="102"/>
      <x:c r="C289" s="98" t="str">
        <x:f>IF(B289="","",TEXT(B289,"yyyy/mm"))</x:f>
      </x:c>
      <x:c r="D289" s="100"/>
      <x:c r="E289" s="100"/>
      <x:c r="F289" s="100"/>
      <x:c r="G289" s="104"/>
      <x:c r="H289" s="100"/>
      <x:c r="I289" s="100"/>
      <x:c r="J289" s="104"/>
      <x:c r="K289" s="100"/>
      <x:c r="L289" s="100"/>
      <x:c r="M289" s="100"/>
      <x:c r="N289" s="100"/>
    </x:row>
    <x:row r="290">
      <x:c r="A290" s="98" t="str">
        <x:f>IF(B290="","",ROW()-6)</x:f>
      </x:c>
      <x:c r="B290" s="102"/>
      <x:c r="C290" s="98" t="str">
        <x:f>IF(B290="","",TEXT(B290,"yyyy/mm"))</x:f>
      </x:c>
      <x:c r="D290" s="100"/>
      <x:c r="E290" s="100"/>
      <x:c r="F290" s="100"/>
      <x:c r="G290" s="104"/>
      <x:c r="H290" s="100"/>
      <x:c r="I290" s="100"/>
      <x:c r="J290" s="104"/>
      <x:c r="K290" s="100"/>
      <x:c r="L290" s="100"/>
      <x:c r="M290" s="100"/>
      <x:c r="N290" s="100"/>
    </x:row>
    <x:row r="291">
      <x:c r="A291" s="98" t="str">
        <x:f>IF(B291="","",ROW()-6)</x:f>
      </x:c>
      <x:c r="B291" s="102"/>
      <x:c r="C291" s="98" t="str">
        <x:f>IF(B291="","",TEXT(B291,"yyyy/mm"))</x:f>
      </x:c>
      <x:c r="D291" s="100"/>
      <x:c r="E291" s="100"/>
      <x:c r="F291" s="100"/>
      <x:c r="G291" s="104"/>
      <x:c r="H291" s="100"/>
      <x:c r="I291" s="100"/>
      <x:c r="J291" s="104"/>
      <x:c r="K291" s="100"/>
      <x:c r="L291" s="100"/>
      <x:c r="M291" s="100"/>
      <x:c r="N291" s="100"/>
    </x:row>
    <x:row r="292">
      <x:c r="A292" s="98" t="str">
        <x:f>IF(B292="","",ROW()-6)</x:f>
      </x:c>
      <x:c r="B292" s="102"/>
      <x:c r="C292" s="98" t="str">
        <x:f>IF(B292="","",TEXT(B292,"yyyy/mm"))</x:f>
      </x:c>
      <x:c r="D292" s="100"/>
      <x:c r="E292" s="100"/>
      <x:c r="F292" s="100"/>
      <x:c r="G292" s="104"/>
      <x:c r="H292" s="100"/>
      <x:c r="I292" s="100"/>
      <x:c r="J292" s="104"/>
      <x:c r="K292" s="100"/>
      <x:c r="L292" s="100"/>
      <x:c r="M292" s="100"/>
      <x:c r="N292" s="100"/>
    </x:row>
    <x:row r="293">
      <x:c r="A293" s="98" t="str">
        <x:f>IF(B293="","",ROW()-6)</x:f>
      </x:c>
      <x:c r="B293" s="102"/>
      <x:c r="C293" s="98" t="str">
        <x:f>IF(B293="","",TEXT(B293,"yyyy/mm"))</x:f>
      </x:c>
      <x:c r="D293" s="100"/>
      <x:c r="E293" s="100"/>
      <x:c r="F293" s="100"/>
      <x:c r="G293" s="104"/>
      <x:c r="H293" s="100"/>
      <x:c r="I293" s="100"/>
      <x:c r="J293" s="104"/>
      <x:c r="K293" s="100"/>
      <x:c r="L293" s="100"/>
      <x:c r="M293" s="100"/>
      <x:c r="N293" s="100"/>
    </x:row>
    <x:row r="294">
      <x:c r="A294" s="98" t="str">
        <x:f>IF(B294="","",ROW()-6)</x:f>
      </x:c>
      <x:c r="B294" s="102"/>
      <x:c r="C294" s="98" t="str">
        <x:f>IF(B294="","",TEXT(B294,"yyyy/mm"))</x:f>
      </x:c>
      <x:c r="D294" s="100"/>
      <x:c r="E294" s="100"/>
      <x:c r="F294" s="100"/>
      <x:c r="G294" s="104"/>
      <x:c r="H294" s="100"/>
      <x:c r="I294" s="100"/>
      <x:c r="J294" s="104"/>
      <x:c r="K294" s="100"/>
      <x:c r="L294" s="100"/>
      <x:c r="M294" s="100"/>
      <x:c r="N294" s="100"/>
    </x:row>
    <x:row r="295">
      <x:c r="A295" s="98" t="str">
        <x:f>IF(B295="","",ROW()-6)</x:f>
      </x:c>
      <x:c r="B295" s="102"/>
      <x:c r="C295" s="98" t="str">
        <x:f>IF(B295="","",TEXT(B295,"yyyy/mm"))</x:f>
      </x:c>
      <x:c r="D295" s="100"/>
      <x:c r="E295" s="100"/>
      <x:c r="F295" s="100"/>
      <x:c r="G295" s="104"/>
      <x:c r="H295" s="100"/>
      <x:c r="I295" s="100"/>
      <x:c r="J295" s="104"/>
      <x:c r="K295" s="100"/>
      <x:c r="L295" s="100"/>
      <x:c r="M295" s="100"/>
      <x:c r="N295" s="100"/>
    </x:row>
    <x:row r="296">
      <x:c r="A296" s="98" t="str">
        <x:f>IF(B296="","",ROW()-6)</x:f>
      </x:c>
      <x:c r="B296" s="102"/>
      <x:c r="C296" s="98" t="str">
        <x:f>IF(B296="","",TEXT(B296,"yyyy/mm"))</x:f>
      </x:c>
      <x:c r="D296" s="100"/>
      <x:c r="E296" s="100"/>
      <x:c r="F296" s="100"/>
      <x:c r="G296" s="104"/>
      <x:c r="H296" s="100"/>
      <x:c r="I296" s="100"/>
      <x:c r="J296" s="104"/>
      <x:c r="K296" s="100"/>
      <x:c r="L296" s="100"/>
      <x:c r="M296" s="100"/>
      <x:c r="N296" s="100"/>
    </x:row>
    <x:row r="297">
      <x:c r="A297" s="98" t="str">
        <x:f>IF(B297="","",ROW()-6)</x:f>
      </x:c>
      <x:c r="B297" s="102"/>
      <x:c r="C297" s="98" t="str">
        <x:f>IF(B297="","",TEXT(B297,"yyyy/mm"))</x:f>
      </x:c>
      <x:c r="D297" s="100"/>
      <x:c r="E297" s="100"/>
      <x:c r="F297" s="100"/>
      <x:c r="G297" s="104"/>
      <x:c r="H297" s="100"/>
      <x:c r="I297" s="100"/>
      <x:c r="J297" s="104"/>
      <x:c r="K297" s="100"/>
      <x:c r="L297" s="100"/>
      <x:c r="M297" s="100"/>
      <x:c r="N297" s="100"/>
    </x:row>
    <x:row r="298">
      <x:c r="A298" s="98" t="str">
        <x:f>IF(B298="","",ROW()-6)</x:f>
      </x:c>
      <x:c r="B298" s="102"/>
      <x:c r="C298" s="98" t="str">
        <x:f>IF(B298="","",TEXT(B298,"yyyy/mm"))</x:f>
      </x:c>
      <x:c r="D298" s="100"/>
      <x:c r="E298" s="100"/>
      <x:c r="F298" s="100"/>
      <x:c r="G298" s="104"/>
      <x:c r="H298" s="100"/>
      <x:c r="I298" s="100"/>
      <x:c r="J298" s="104"/>
      <x:c r="K298" s="100"/>
      <x:c r="L298" s="100"/>
      <x:c r="M298" s="100"/>
      <x:c r="N298" s="100"/>
    </x:row>
    <x:row r="299">
      <x:c r="A299" s="98" t="str">
        <x:f>IF(B299="","",ROW()-6)</x:f>
      </x:c>
      <x:c r="B299" s="102"/>
      <x:c r="C299" s="98" t="str">
        <x:f>IF(B299="","",TEXT(B299,"yyyy/mm"))</x:f>
      </x:c>
      <x:c r="D299" s="100"/>
      <x:c r="E299" s="100"/>
      <x:c r="F299" s="100"/>
      <x:c r="G299" s="104"/>
      <x:c r="H299" s="100"/>
      <x:c r="I299" s="100"/>
      <x:c r="J299" s="104"/>
      <x:c r="K299" s="100"/>
      <x:c r="L299" s="100"/>
      <x:c r="M299" s="100"/>
      <x:c r="N299" s="100"/>
    </x:row>
    <x:row r="300">
      <x:c r="A300" s="98" t="str">
        <x:f>IF(B300="","",ROW()-6)</x:f>
      </x:c>
      <x:c r="B300" s="102"/>
      <x:c r="C300" s="98" t="str">
        <x:f>IF(B300="","",TEXT(B300,"yyyy/mm"))</x:f>
      </x:c>
      <x:c r="D300" s="100"/>
      <x:c r="E300" s="100"/>
      <x:c r="F300" s="100"/>
      <x:c r="G300" s="104"/>
      <x:c r="H300" s="100"/>
      <x:c r="I300" s="100"/>
      <x:c r="J300" s="104"/>
      <x:c r="K300" s="100"/>
      <x:c r="L300" s="100"/>
      <x:c r="M300" s="100"/>
      <x:c r="N300" s="100"/>
    </x:row>
    <x:row r="301">
      <x:c r="A301" s="98" t="str">
        <x:f>IF(B301="","",ROW()-6)</x:f>
      </x:c>
      <x:c r="B301" s="102"/>
      <x:c r="C301" s="98" t="str">
        <x:f>IF(B301="","",TEXT(B301,"yyyy/mm"))</x:f>
      </x:c>
      <x:c r="D301" s="100"/>
      <x:c r="E301" s="100"/>
      <x:c r="F301" s="100"/>
      <x:c r="G301" s="104"/>
      <x:c r="H301" s="100"/>
      <x:c r="I301" s="100"/>
      <x:c r="J301" s="104"/>
      <x:c r="K301" s="100"/>
      <x:c r="L301" s="100"/>
      <x:c r="M301" s="100"/>
      <x:c r="N301" s="100"/>
    </x:row>
    <x:row r="302">
      <x:c r="A302" s="98" t="str">
        <x:f>IF(B302="","",ROW()-6)</x:f>
      </x:c>
      <x:c r="B302" s="102"/>
      <x:c r="C302" s="98" t="str">
        <x:f>IF(B302="","",TEXT(B302,"yyyy/mm"))</x:f>
      </x:c>
      <x:c r="D302" s="100"/>
      <x:c r="E302" s="100"/>
      <x:c r="F302" s="100"/>
      <x:c r="G302" s="104"/>
      <x:c r="H302" s="100"/>
      <x:c r="I302" s="100"/>
      <x:c r="J302" s="104"/>
      <x:c r="K302" s="100"/>
      <x:c r="L302" s="100"/>
      <x:c r="M302" s="100"/>
      <x:c r="N302" s="100"/>
    </x:row>
    <x:row r="303">
      <x:c r="A303" s="98" t="str">
        <x:f>IF(B303="","",ROW()-6)</x:f>
      </x:c>
      <x:c r="B303" s="102"/>
      <x:c r="C303" s="98" t="str">
        <x:f>IF(B303="","",TEXT(B303,"yyyy/mm"))</x:f>
      </x:c>
      <x:c r="D303" s="100"/>
      <x:c r="E303" s="100"/>
      <x:c r="F303" s="100"/>
      <x:c r="G303" s="104"/>
      <x:c r="H303" s="100"/>
      <x:c r="I303" s="100"/>
      <x:c r="J303" s="104"/>
      <x:c r="K303" s="100"/>
      <x:c r="L303" s="100"/>
      <x:c r="M303" s="100"/>
      <x:c r="N303" s="100"/>
    </x:row>
    <x:row r="304">
      <x:c r="A304" s="98" t="str">
        <x:f>IF(B304="","",ROW()-6)</x:f>
      </x:c>
      <x:c r="B304" s="102"/>
      <x:c r="C304" s="98" t="str">
        <x:f>IF(B304="","",TEXT(B304,"yyyy/mm"))</x:f>
      </x:c>
      <x:c r="D304" s="100"/>
      <x:c r="E304" s="100"/>
      <x:c r="F304" s="100"/>
      <x:c r="G304" s="104"/>
      <x:c r="H304" s="100"/>
      <x:c r="I304" s="100"/>
      <x:c r="J304" s="104"/>
      <x:c r="K304" s="100"/>
      <x:c r="L304" s="100"/>
      <x:c r="M304" s="100"/>
      <x:c r="N304" s="100"/>
    </x:row>
    <x:row r="305">
      <x:c r="A305" s="98" t="str">
        <x:f>IF(B305="","",ROW()-6)</x:f>
      </x:c>
      <x:c r="B305" s="102"/>
      <x:c r="C305" s="98" t="str">
        <x:f>IF(B305="","",TEXT(B305,"yyyy/mm"))</x:f>
      </x:c>
      <x:c r="D305" s="100"/>
      <x:c r="E305" s="100"/>
      <x:c r="F305" s="100"/>
      <x:c r="G305" s="104"/>
      <x:c r="H305" s="100"/>
      <x:c r="I305" s="100"/>
      <x:c r="J305" s="104"/>
      <x:c r="K305" s="100"/>
      <x:c r="L305" s="100"/>
      <x:c r="M305" s="100"/>
      <x:c r="N305" s="100"/>
    </x:row>
    <x:row r="306">
      <x:c r="A306" s="98" t="str">
        <x:f>IF(B306="","",ROW()-6)</x:f>
      </x:c>
      <x:c r="B306" s="102"/>
      <x:c r="C306" s="98" t="str">
        <x:f>IF(B306="","",TEXT(B306,"yyyy/mm"))</x:f>
      </x:c>
      <x:c r="D306" s="100"/>
      <x:c r="E306" s="100"/>
      <x:c r="F306" s="100"/>
      <x:c r="G306" s="104"/>
      <x:c r="H306" s="100"/>
      <x:c r="I306" s="100"/>
      <x:c r="J306" s="104"/>
      <x:c r="K306" s="100"/>
      <x:c r="L306" s="100"/>
      <x:c r="M306" s="100"/>
      <x:c r="N306" s="100"/>
    </x:row>
    <x:row r="307">
      <x:c r="A307" s="98" t="str">
        <x:f>IF(B307="","",ROW()-6)</x:f>
      </x:c>
      <x:c r="B307" s="102"/>
      <x:c r="C307" s="98" t="str">
        <x:f>IF(B307="","",TEXT(B307,"yyyy/mm"))</x:f>
      </x:c>
      <x:c r="D307" s="100"/>
      <x:c r="E307" s="100"/>
      <x:c r="F307" s="100"/>
      <x:c r="G307" s="104"/>
      <x:c r="H307" s="100"/>
      <x:c r="I307" s="100"/>
      <x:c r="J307" s="104"/>
      <x:c r="K307" s="100"/>
      <x:c r="L307" s="100"/>
      <x:c r="M307" s="100"/>
      <x:c r="N307" s="100"/>
    </x:row>
    <x:row r="308">
      <x:c r="A308" s="98" t="str">
        <x:f>IF(B308="","",ROW()-6)</x:f>
      </x:c>
      <x:c r="B308" s="102"/>
      <x:c r="C308" s="98" t="str">
        <x:f>IF(B308="","",TEXT(B308,"yyyy/mm"))</x:f>
      </x:c>
      <x:c r="D308" s="100"/>
      <x:c r="E308" s="100"/>
      <x:c r="F308" s="100"/>
      <x:c r="G308" s="104"/>
      <x:c r="H308" s="100"/>
      <x:c r="I308" s="100"/>
      <x:c r="J308" s="104"/>
      <x:c r="K308" s="100"/>
      <x:c r="L308" s="100"/>
      <x:c r="M308" s="100"/>
      <x:c r="N308" s="100"/>
    </x:row>
    <x:row r="309">
      <x:c r="A309" s="98" t="str">
        <x:f>IF(B309="","",ROW()-6)</x:f>
      </x:c>
      <x:c r="B309" s="102"/>
      <x:c r="C309" s="98" t="str">
        <x:f>IF(B309="","",TEXT(B309,"yyyy/mm"))</x:f>
      </x:c>
      <x:c r="D309" s="100"/>
      <x:c r="E309" s="100"/>
      <x:c r="F309" s="100"/>
      <x:c r="G309" s="104"/>
      <x:c r="H309" s="100"/>
      <x:c r="I309" s="100"/>
      <x:c r="J309" s="104"/>
      <x:c r="K309" s="100"/>
      <x:c r="L309" s="100"/>
      <x:c r="M309" s="100"/>
      <x:c r="N309" s="100"/>
    </x:row>
    <x:row r="310">
      <x:c r="A310" s="98" t="str">
        <x:f>IF(B310="","",ROW()-6)</x:f>
      </x:c>
      <x:c r="B310" s="102"/>
      <x:c r="C310" s="98" t="str">
        <x:f>IF(B310="","",TEXT(B310,"yyyy/mm"))</x:f>
      </x:c>
      <x:c r="D310" s="100"/>
      <x:c r="E310" s="100"/>
      <x:c r="F310" s="100"/>
      <x:c r="G310" s="104"/>
      <x:c r="H310" s="100"/>
      <x:c r="I310" s="100"/>
      <x:c r="J310" s="104"/>
      <x:c r="K310" s="100"/>
      <x:c r="L310" s="100"/>
      <x:c r="M310" s="100"/>
      <x:c r="N310" s="100"/>
    </x:row>
    <x:row r="311">
      <x:c r="A311" s="98" t="str">
        <x:f>IF(B311="","",ROW()-6)</x:f>
      </x:c>
      <x:c r="B311" s="102"/>
      <x:c r="C311" s="98" t="str">
        <x:f>IF(B311="","",TEXT(B311,"yyyy/mm"))</x:f>
      </x:c>
      <x:c r="D311" s="100"/>
      <x:c r="E311" s="100"/>
      <x:c r="F311" s="100"/>
      <x:c r="G311" s="104"/>
      <x:c r="H311" s="100"/>
      <x:c r="I311" s="100"/>
      <x:c r="J311" s="104"/>
      <x:c r="K311" s="100"/>
      <x:c r="L311" s="100"/>
      <x:c r="M311" s="100"/>
      <x:c r="N311" s="100"/>
    </x:row>
    <x:row r="312">
      <x:c r="A312" s="98" t="str">
        <x:f>IF(B312="","",ROW()-6)</x:f>
      </x:c>
      <x:c r="B312" s="102"/>
      <x:c r="C312" s="98" t="str">
        <x:f>IF(B312="","",TEXT(B312,"yyyy/mm"))</x:f>
      </x:c>
      <x:c r="D312" s="100"/>
      <x:c r="E312" s="100"/>
      <x:c r="F312" s="100"/>
      <x:c r="G312" s="104"/>
      <x:c r="H312" s="100"/>
      <x:c r="I312" s="100"/>
      <x:c r="J312" s="104"/>
      <x:c r="K312" s="100"/>
      <x:c r="L312" s="100"/>
      <x:c r="M312" s="100"/>
      <x:c r="N312" s="100"/>
    </x:row>
    <x:row r="313">
      <x:c r="A313" s="98" t="str">
        <x:f>IF(B313="","",ROW()-6)</x:f>
      </x:c>
      <x:c r="B313" s="102"/>
      <x:c r="C313" s="98" t="str">
        <x:f>IF(B313="","",TEXT(B313,"yyyy/mm"))</x:f>
      </x:c>
      <x:c r="D313" s="100"/>
      <x:c r="E313" s="100"/>
      <x:c r="F313" s="100"/>
      <x:c r="G313" s="104"/>
      <x:c r="H313" s="100"/>
      <x:c r="I313" s="100"/>
      <x:c r="J313" s="104"/>
      <x:c r="K313" s="100"/>
      <x:c r="L313" s="100"/>
      <x:c r="M313" s="100"/>
      <x:c r="N313" s="100"/>
    </x:row>
    <x:row r="314">
      <x:c r="A314" s="98" t="str">
        <x:f>IF(B314="","",ROW()-6)</x:f>
      </x:c>
      <x:c r="B314" s="102"/>
      <x:c r="C314" s="98" t="str">
        <x:f>IF(B314="","",TEXT(B314,"yyyy/mm"))</x:f>
      </x:c>
      <x:c r="D314" s="100"/>
      <x:c r="E314" s="100"/>
      <x:c r="F314" s="100"/>
      <x:c r="G314" s="104"/>
      <x:c r="H314" s="100"/>
      <x:c r="I314" s="100"/>
      <x:c r="J314" s="104"/>
      <x:c r="K314" s="100"/>
      <x:c r="L314" s="100"/>
      <x:c r="M314" s="100"/>
      <x:c r="N314" s="100"/>
    </x:row>
    <x:row r="315">
      <x:c r="A315" s="98" t="str">
        <x:f>IF(B315="","",ROW()-6)</x:f>
      </x:c>
      <x:c r="B315" s="102"/>
      <x:c r="C315" s="98" t="str">
        <x:f>IF(B315="","",TEXT(B315,"yyyy/mm"))</x:f>
      </x:c>
      <x:c r="D315" s="100"/>
      <x:c r="E315" s="100"/>
      <x:c r="F315" s="100"/>
      <x:c r="G315" s="104"/>
      <x:c r="H315" s="100"/>
      <x:c r="I315" s="100"/>
      <x:c r="J315" s="104"/>
      <x:c r="K315" s="100"/>
      <x:c r="L315" s="100"/>
      <x:c r="M315" s="100"/>
      <x:c r="N315" s="100"/>
    </x:row>
    <x:row r="316">
      <x:c r="A316" s="98" t="str">
        <x:f>IF(B316="","",ROW()-6)</x:f>
      </x:c>
      <x:c r="B316" s="102"/>
      <x:c r="C316" s="98" t="str">
        <x:f>IF(B316="","",TEXT(B316,"yyyy/mm"))</x:f>
      </x:c>
      <x:c r="D316" s="100"/>
      <x:c r="E316" s="100"/>
      <x:c r="F316" s="100"/>
      <x:c r="G316" s="104"/>
      <x:c r="H316" s="100"/>
      <x:c r="I316" s="100"/>
      <x:c r="J316" s="104"/>
      <x:c r="K316" s="100"/>
      <x:c r="L316" s="100"/>
      <x:c r="M316" s="100"/>
      <x:c r="N316" s="100"/>
    </x:row>
    <x:row r="317">
      <x:c r="A317" s="98" t="str">
        <x:f>IF(B317="","",ROW()-6)</x:f>
      </x:c>
      <x:c r="B317" s="102"/>
      <x:c r="C317" s="98" t="str">
        <x:f>IF(B317="","",TEXT(B317,"yyyy/mm"))</x:f>
      </x:c>
      <x:c r="D317" s="100"/>
      <x:c r="E317" s="100"/>
      <x:c r="F317" s="100"/>
      <x:c r="G317" s="104"/>
      <x:c r="H317" s="100"/>
      <x:c r="I317" s="100"/>
      <x:c r="J317" s="104"/>
      <x:c r="K317" s="100"/>
      <x:c r="L317" s="100"/>
      <x:c r="M317" s="100"/>
      <x:c r="N317" s="100"/>
    </x:row>
    <x:row r="318">
      <x:c r="A318" s="98" t="str">
        <x:f>IF(B318="","",ROW()-6)</x:f>
      </x:c>
      <x:c r="B318" s="102"/>
      <x:c r="C318" s="98" t="str">
        <x:f>IF(B318="","",TEXT(B318,"yyyy/mm"))</x:f>
      </x:c>
      <x:c r="D318" s="100"/>
      <x:c r="E318" s="100"/>
      <x:c r="F318" s="100"/>
      <x:c r="G318" s="104"/>
      <x:c r="H318" s="100"/>
      <x:c r="I318" s="100"/>
      <x:c r="J318" s="104"/>
      <x:c r="K318" s="100"/>
      <x:c r="L318" s="100"/>
      <x:c r="M318" s="100"/>
      <x:c r="N318" s="100"/>
    </x:row>
    <x:row r="319">
      <x:c r="A319" s="98" t="str">
        <x:f>IF(B319="","",ROW()-6)</x:f>
      </x:c>
      <x:c r="B319" s="102"/>
      <x:c r="C319" s="98" t="str">
        <x:f>IF(B319="","",TEXT(B319,"yyyy/mm"))</x:f>
      </x:c>
      <x:c r="D319" s="100"/>
      <x:c r="E319" s="100"/>
      <x:c r="F319" s="100"/>
      <x:c r="G319" s="104"/>
      <x:c r="H319" s="100"/>
      <x:c r="I319" s="100"/>
      <x:c r="J319" s="104"/>
      <x:c r="K319" s="100"/>
      <x:c r="L319" s="100"/>
      <x:c r="M319" s="100"/>
      <x:c r="N319" s="100"/>
    </x:row>
    <x:row r="320">
      <x:c r="A320" s="98" t="str">
        <x:f>IF(B320="","",ROW()-6)</x:f>
      </x:c>
      <x:c r="B320" s="102"/>
      <x:c r="C320" s="98" t="str">
        <x:f>IF(B320="","",TEXT(B320,"yyyy/mm"))</x:f>
      </x:c>
      <x:c r="D320" s="100"/>
      <x:c r="E320" s="100"/>
      <x:c r="F320" s="100"/>
      <x:c r="G320" s="104"/>
      <x:c r="H320" s="100"/>
      <x:c r="I320" s="100"/>
      <x:c r="J320" s="104"/>
      <x:c r="K320" s="100"/>
      <x:c r="L320" s="100"/>
      <x:c r="M320" s="100"/>
      <x:c r="N320" s="100"/>
    </x:row>
    <x:row r="321">
      <x:c r="A321" s="98" t="str">
        <x:f>IF(B321="","",ROW()-6)</x:f>
      </x:c>
      <x:c r="B321" s="102"/>
      <x:c r="C321" s="98" t="str">
        <x:f>IF(B321="","",TEXT(B321,"yyyy/mm"))</x:f>
      </x:c>
      <x:c r="D321" s="100"/>
      <x:c r="E321" s="100"/>
      <x:c r="F321" s="100"/>
      <x:c r="G321" s="104"/>
      <x:c r="H321" s="100"/>
      <x:c r="I321" s="100"/>
      <x:c r="J321" s="104"/>
      <x:c r="K321" s="100"/>
      <x:c r="L321" s="100"/>
      <x:c r="M321" s="100"/>
      <x:c r="N321" s="100"/>
    </x:row>
    <x:row r="322">
      <x:c r="A322" s="98" t="str">
        <x:f>IF(B322="","",ROW()-6)</x:f>
      </x:c>
      <x:c r="B322" s="102"/>
      <x:c r="C322" s="98" t="str">
        <x:f>IF(B322="","",TEXT(B322,"yyyy/mm"))</x:f>
      </x:c>
      <x:c r="D322" s="100"/>
      <x:c r="E322" s="100"/>
      <x:c r="F322" s="100"/>
      <x:c r="G322" s="104"/>
      <x:c r="H322" s="100"/>
      <x:c r="I322" s="100"/>
      <x:c r="J322" s="104"/>
      <x:c r="K322" s="100"/>
      <x:c r="L322" s="100"/>
      <x:c r="M322" s="100"/>
      <x:c r="N322" s="100"/>
    </x:row>
    <x:row r="323">
      <x:c r="A323" s="98" t="str">
        <x:f>IF(B323="","",ROW()-6)</x:f>
      </x:c>
      <x:c r="B323" s="102"/>
      <x:c r="C323" s="98" t="str">
        <x:f>IF(B323="","",TEXT(B323,"yyyy/mm"))</x:f>
      </x:c>
      <x:c r="D323" s="100"/>
      <x:c r="E323" s="100"/>
      <x:c r="F323" s="100"/>
      <x:c r="G323" s="104"/>
      <x:c r="H323" s="100"/>
      <x:c r="I323" s="100"/>
      <x:c r="J323" s="104"/>
      <x:c r="K323" s="100"/>
      <x:c r="L323" s="100"/>
      <x:c r="M323" s="100"/>
      <x:c r="N323" s="100"/>
    </x:row>
    <x:row r="324">
      <x:c r="A324" s="98" t="str">
        <x:f>IF(B324="","",ROW()-6)</x:f>
      </x:c>
      <x:c r="B324" s="102"/>
      <x:c r="C324" s="98" t="str">
        <x:f>IF(B324="","",TEXT(B324,"yyyy/mm"))</x:f>
      </x:c>
      <x:c r="D324" s="100"/>
      <x:c r="E324" s="100"/>
      <x:c r="F324" s="100"/>
      <x:c r="G324" s="104"/>
      <x:c r="H324" s="100"/>
      <x:c r="I324" s="100"/>
      <x:c r="J324" s="104"/>
      <x:c r="K324" s="100"/>
      <x:c r="L324" s="100"/>
      <x:c r="M324" s="100"/>
      <x:c r="N324" s="100"/>
    </x:row>
    <x:row r="325">
      <x:c r="A325" s="98" t="str">
        <x:f>IF(B325="","",ROW()-6)</x:f>
      </x:c>
      <x:c r="B325" s="102"/>
      <x:c r="C325" s="98" t="str">
        <x:f>IF(B325="","",TEXT(B325,"yyyy/mm"))</x:f>
      </x:c>
      <x:c r="D325" s="100"/>
      <x:c r="E325" s="100"/>
      <x:c r="F325" s="100"/>
      <x:c r="G325" s="104"/>
      <x:c r="H325" s="100"/>
      <x:c r="I325" s="100"/>
      <x:c r="J325" s="104"/>
      <x:c r="K325" s="100"/>
      <x:c r="L325" s="100"/>
      <x:c r="M325" s="100"/>
      <x:c r="N325" s="100"/>
    </x:row>
    <x:row r="326">
      <x:c r="A326" s="98" t="str">
        <x:f>IF(B326="","",ROW()-6)</x:f>
      </x:c>
      <x:c r="B326" s="102"/>
      <x:c r="C326" s="98" t="str">
        <x:f>IF(B326="","",TEXT(B326,"yyyy/mm"))</x:f>
      </x:c>
      <x:c r="D326" s="100"/>
      <x:c r="E326" s="100"/>
      <x:c r="F326" s="100"/>
      <x:c r="G326" s="104"/>
      <x:c r="H326" s="100"/>
      <x:c r="I326" s="100"/>
      <x:c r="J326" s="104"/>
      <x:c r="K326" s="100"/>
      <x:c r="L326" s="100"/>
      <x:c r="M326" s="100"/>
      <x:c r="N326" s="100"/>
    </x:row>
    <x:row r="327">
      <x:c r="A327" s="98" t="str">
        <x:f>IF(B327="","",ROW()-6)</x:f>
      </x:c>
      <x:c r="B327" s="102"/>
      <x:c r="C327" s="98" t="str">
        <x:f>IF(B327="","",TEXT(B327,"yyyy/mm"))</x:f>
      </x:c>
      <x:c r="D327" s="100"/>
      <x:c r="E327" s="100"/>
      <x:c r="F327" s="100"/>
      <x:c r="G327" s="104"/>
      <x:c r="H327" s="100"/>
      <x:c r="I327" s="100"/>
      <x:c r="J327" s="104"/>
      <x:c r="K327" s="100"/>
      <x:c r="L327" s="100"/>
      <x:c r="M327" s="100"/>
      <x:c r="N327" s="100"/>
    </x:row>
    <x:row r="328">
      <x:c r="A328" s="98" t="str">
        <x:f>IF(B328="","",ROW()-6)</x:f>
      </x:c>
      <x:c r="B328" s="102"/>
      <x:c r="C328" s="98" t="str">
        <x:f>IF(B328="","",TEXT(B328,"yyyy/mm"))</x:f>
      </x:c>
      <x:c r="D328" s="100"/>
      <x:c r="E328" s="100"/>
      <x:c r="F328" s="100"/>
      <x:c r="G328" s="104"/>
      <x:c r="H328" s="100"/>
      <x:c r="I328" s="100"/>
      <x:c r="J328" s="104"/>
      <x:c r="K328" s="100"/>
      <x:c r="L328" s="100"/>
      <x:c r="M328" s="100"/>
      <x:c r="N328" s="100"/>
    </x:row>
    <x:row r="329">
      <x:c r="A329" s="98" t="str">
        <x:f>IF(B329="","",ROW()-6)</x:f>
      </x:c>
      <x:c r="B329" s="102"/>
      <x:c r="C329" s="98" t="str">
        <x:f>IF(B329="","",TEXT(B329,"yyyy/mm"))</x:f>
      </x:c>
      <x:c r="D329" s="100"/>
      <x:c r="E329" s="100"/>
      <x:c r="F329" s="100"/>
      <x:c r="G329" s="104"/>
      <x:c r="H329" s="100"/>
      <x:c r="I329" s="100"/>
      <x:c r="J329" s="104"/>
      <x:c r="K329" s="100"/>
      <x:c r="L329" s="100"/>
      <x:c r="M329" s="100"/>
      <x:c r="N329" s="100"/>
    </x:row>
    <x:row r="330">
      <x:c r="A330" s="98" t="str">
        <x:f>IF(B330="","",ROW()-6)</x:f>
      </x:c>
      <x:c r="B330" s="102"/>
      <x:c r="C330" s="98" t="str">
        <x:f>IF(B330="","",TEXT(B330,"yyyy/mm"))</x:f>
      </x:c>
      <x:c r="D330" s="100"/>
      <x:c r="E330" s="100"/>
      <x:c r="F330" s="100"/>
      <x:c r="G330" s="104"/>
      <x:c r="H330" s="100"/>
      <x:c r="I330" s="100"/>
      <x:c r="J330" s="104"/>
      <x:c r="K330" s="100"/>
      <x:c r="L330" s="100"/>
      <x:c r="M330" s="100"/>
      <x:c r="N330" s="100"/>
    </x:row>
    <x:row r="331">
      <x:c r="A331" s="98" t="str">
        <x:f>IF(B331="","",ROW()-6)</x:f>
      </x:c>
      <x:c r="B331" s="102"/>
      <x:c r="C331" s="98" t="str">
        <x:f>IF(B331="","",TEXT(B331,"yyyy/mm"))</x:f>
      </x:c>
      <x:c r="D331" s="100"/>
      <x:c r="E331" s="100"/>
      <x:c r="F331" s="100"/>
      <x:c r="G331" s="104"/>
      <x:c r="H331" s="100"/>
      <x:c r="I331" s="100"/>
      <x:c r="J331" s="104"/>
      <x:c r="K331" s="100"/>
      <x:c r="L331" s="100"/>
      <x:c r="M331" s="100"/>
      <x:c r="N331" s="100"/>
    </x:row>
    <x:row r="332">
      <x:c r="A332" s="98" t="str">
        <x:f>IF(B332="","",ROW()-6)</x:f>
      </x:c>
      <x:c r="B332" s="102"/>
      <x:c r="C332" s="98" t="str">
        <x:f>IF(B332="","",TEXT(B332,"yyyy/mm"))</x:f>
      </x:c>
      <x:c r="D332" s="100"/>
      <x:c r="E332" s="100"/>
      <x:c r="F332" s="100"/>
      <x:c r="G332" s="104"/>
      <x:c r="H332" s="100"/>
      <x:c r="I332" s="100"/>
      <x:c r="J332" s="104"/>
      <x:c r="K332" s="100"/>
      <x:c r="L332" s="100"/>
      <x:c r="M332" s="100"/>
      <x:c r="N332" s="100"/>
    </x:row>
    <x:row r="333">
      <x:c r="A333" s="98" t="str">
        <x:f>IF(B333="","",ROW()-6)</x:f>
      </x:c>
      <x:c r="B333" s="102"/>
      <x:c r="C333" s="98" t="str">
        <x:f>IF(B333="","",TEXT(B333,"yyyy/mm"))</x:f>
      </x:c>
      <x:c r="D333" s="100"/>
      <x:c r="E333" s="100"/>
      <x:c r="F333" s="100"/>
      <x:c r="G333" s="104"/>
      <x:c r="H333" s="100"/>
      <x:c r="I333" s="100"/>
      <x:c r="J333" s="104"/>
      <x:c r="K333" s="100"/>
      <x:c r="L333" s="100"/>
      <x:c r="M333" s="100"/>
      <x:c r="N333" s="100"/>
    </x:row>
    <x:row r="334">
      <x:c r="A334" s="98" t="str">
        <x:f>IF(B334="","",ROW()-6)</x:f>
      </x:c>
      <x:c r="B334" s="102"/>
      <x:c r="C334" s="98" t="str">
        <x:f>IF(B334="","",TEXT(B334,"yyyy/mm"))</x:f>
      </x:c>
      <x:c r="D334" s="100"/>
      <x:c r="E334" s="100"/>
      <x:c r="F334" s="100"/>
      <x:c r="G334" s="104"/>
      <x:c r="H334" s="100"/>
      <x:c r="I334" s="100"/>
      <x:c r="J334" s="104"/>
      <x:c r="K334" s="100"/>
      <x:c r="L334" s="100"/>
      <x:c r="M334" s="100"/>
      <x:c r="N334" s="100"/>
    </x:row>
    <x:row r="335">
      <x:c r="A335" s="98" t="str">
        <x:f>IF(B335="","",ROW()-6)</x:f>
      </x:c>
      <x:c r="B335" s="102"/>
      <x:c r="C335" s="98" t="str">
        <x:f>IF(B335="","",TEXT(B335,"yyyy/mm"))</x:f>
      </x:c>
      <x:c r="D335" s="100"/>
      <x:c r="E335" s="100"/>
      <x:c r="F335" s="100"/>
      <x:c r="G335" s="104"/>
      <x:c r="H335" s="100"/>
      <x:c r="I335" s="100"/>
      <x:c r="J335" s="104"/>
      <x:c r="K335" s="100"/>
      <x:c r="L335" s="100"/>
      <x:c r="M335" s="100"/>
      <x:c r="N335" s="100"/>
    </x:row>
    <x:row r="336">
      <x:c r="A336" s="98" t="str">
        <x:f>IF(B336="","",ROW()-6)</x:f>
      </x:c>
      <x:c r="B336" s="102"/>
      <x:c r="C336" s="98" t="str">
        <x:f>IF(B336="","",TEXT(B336,"yyyy/mm"))</x:f>
      </x:c>
      <x:c r="D336" s="100"/>
      <x:c r="E336" s="100"/>
      <x:c r="F336" s="100"/>
      <x:c r="G336" s="104"/>
      <x:c r="H336" s="100"/>
      <x:c r="I336" s="100"/>
      <x:c r="J336" s="104"/>
      <x:c r="K336" s="100"/>
      <x:c r="L336" s="100"/>
      <x:c r="M336" s="100"/>
      <x:c r="N336" s="100"/>
    </x:row>
    <x:row r="337">
      <x:c r="A337" s="98" t="str">
        <x:f>IF(B337="","",ROW()-6)</x:f>
      </x:c>
      <x:c r="B337" s="102"/>
      <x:c r="C337" s="98" t="str">
        <x:f>IF(B337="","",TEXT(B337,"yyyy/mm"))</x:f>
      </x:c>
      <x:c r="D337" s="100"/>
      <x:c r="E337" s="100"/>
      <x:c r="F337" s="100"/>
      <x:c r="G337" s="104"/>
      <x:c r="H337" s="100"/>
      <x:c r="I337" s="100"/>
      <x:c r="J337" s="104"/>
      <x:c r="K337" s="100"/>
      <x:c r="L337" s="100"/>
      <x:c r="M337" s="100"/>
      <x:c r="N337" s="100"/>
    </x:row>
    <x:row r="338">
      <x:c r="A338" s="98" t="str">
        <x:f>IF(B338="","",ROW()-6)</x:f>
      </x:c>
      <x:c r="B338" s="102"/>
      <x:c r="C338" s="98" t="str">
        <x:f>IF(B338="","",TEXT(B338,"yyyy/mm"))</x:f>
      </x:c>
      <x:c r="D338" s="100"/>
      <x:c r="E338" s="100"/>
      <x:c r="F338" s="100"/>
      <x:c r="G338" s="104"/>
      <x:c r="H338" s="100"/>
      <x:c r="I338" s="100"/>
      <x:c r="J338" s="104"/>
      <x:c r="K338" s="100"/>
      <x:c r="L338" s="100"/>
      <x:c r="M338" s="100"/>
      <x:c r="N338" s="100"/>
    </x:row>
    <x:row r="339">
      <x:c r="A339" s="98" t="str">
        <x:f>IF(B339="","",ROW()-6)</x:f>
      </x:c>
      <x:c r="B339" s="102"/>
      <x:c r="C339" s="98" t="str">
        <x:f>IF(B339="","",TEXT(B339,"yyyy/mm"))</x:f>
      </x:c>
      <x:c r="D339" s="100"/>
      <x:c r="E339" s="100"/>
      <x:c r="F339" s="100"/>
      <x:c r="G339" s="104"/>
      <x:c r="H339" s="100"/>
      <x:c r="I339" s="100"/>
      <x:c r="J339" s="104"/>
      <x:c r="K339" s="100"/>
      <x:c r="L339" s="100"/>
      <x:c r="M339" s="100"/>
      <x:c r="N339" s="100"/>
    </x:row>
    <x:row r="340">
      <x:c r="A340" s="98" t="str">
        <x:f>IF(B340="","",ROW()-6)</x:f>
      </x:c>
      <x:c r="B340" s="102"/>
      <x:c r="C340" s="98" t="str">
        <x:f>IF(B340="","",TEXT(B340,"yyyy/mm"))</x:f>
      </x:c>
      <x:c r="D340" s="100"/>
      <x:c r="E340" s="100"/>
      <x:c r="F340" s="100"/>
      <x:c r="G340" s="104"/>
      <x:c r="H340" s="100"/>
      <x:c r="I340" s="100"/>
      <x:c r="J340" s="104"/>
      <x:c r="K340" s="100"/>
      <x:c r="L340" s="100"/>
      <x:c r="M340" s="100"/>
      <x:c r="N340" s="100"/>
    </x:row>
    <x:row r="341">
      <x:c r="A341" s="98" t="str">
        <x:f>IF(B341="","",ROW()-6)</x:f>
      </x:c>
      <x:c r="B341" s="102"/>
      <x:c r="C341" s="98" t="str">
        <x:f>IF(B341="","",TEXT(B341,"yyyy/mm"))</x:f>
      </x:c>
      <x:c r="D341" s="100"/>
      <x:c r="E341" s="100"/>
      <x:c r="F341" s="100"/>
      <x:c r="G341" s="104"/>
      <x:c r="H341" s="100"/>
      <x:c r="I341" s="100"/>
      <x:c r="J341" s="104"/>
      <x:c r="K341" s="100"/>
      <x:c r="L341" s="100"/>
      <x:c r="M341" s="100"/>
      <x:c r="N341" s="100"/>
    </x:row>
    <x:row r="342">
      <x:c r="A342" s="98" t="str">
        <x:f>IF(B342="","",ROW()-6)</x:f>
      </x:c>
      <x:c r="B342" s="102"/>
      <x:c r="C342" s="98" t="str">
        <x:f>IF(B342="","",TEXT(B342,"yyyy/mm"))</x:f>
      </x:c>
      <x:c r="D342" s="100"/>
      <x:c r="E342" s="100"/>
      <x:c r="F342" s="100"/>
      <x:c r="G342" s="104"/>
      <x:c r="H342" s="100"/>
      <x:c r="I342" s="100"/>
      <x:c r="J342" s="104"/>
      <x:c r="K342" s="100"/>
      <x:c r="L342" s="100"/>
      <x:c r="M342" s="100"/>
      <x:c r="N342" s="100"/>
    </x:row>
    <x:row r="343">
      <x:c r="A343" s="98" t="str">
        <x:f>IF(B343="","",ROW()-6)</x:f>
      </x:c>
      <x:c r="B343" s="102"/>
      <x:c r="C343" s="98" t="str">
        <x:f>IF(B343="","",TEXT(B343,"yyyy/mm"))</x:f>
      </x:c>
      <x:c r="D343" s="100"/>
      <x:c r="E343" s="100"/>
      <x:c r="F343" s="100"/>
      <x:c r="G343" s="104"/>
      <x:c r="H343" s="100"/>
      <x:c r="I343" s="100"/>
      <x:c r="J343" s="104"/>
      <x:c r="K343" s="100"/>
      <x:c r="L343" s="100"/>
      <x:c r="M343" s="100"/>
      <x:c r="N343" s="100"/>
    </x:row>
    <x:row r="344">
      <x:c r="A344" s="98" t="str">
        <x:f>IF(B344="","",ROW()-6)</x:f>
      </x:c>
      <x:c r="B344" s="102"/>
      <x:c r="C344" s="98" t="str">
        <x:f>IF(B344="","",TEXT(B344,"yyyy/mm"))</x:f>
      </x:c>
      <x:c r="D344" s="100"/>
      <x:c r="E344" s="100"/>
      <x:c r="F344" s="100"/>
      <x:c r="G344" s="104"/>
      <x:c r="H344" s="100"/>
      <x:c r="I344" s="100"/>
      <x:c r="J344" s="104"/>
      <x:c r="K344" s="100"/>
      <x:c r="L344" s="100"/>
      <x:c r="M344" s="100"/>
      <x:c r="N344" s="100"/>
    </x:row>
    <x:row r="345">
      <x:c r="A345" s="98" t="str">
        <x:f>IF(B345="","",ROW()-6)</x:f>
      </x:c>
      <x:c r="B345" s="102"/>
      <x:c r="C345" s="98" t="str">
        <x:f>IF(B345="","",TEXT(B345,"yyyy/mm"))</x:f>
      </x:c>
      <x:c r="D345" s="100"/>
      <x:c r="E345" s="100"/>
      <x:c r="F345" s="100"/>
      <x:c r="G345" s="104"/>
      <x:c r="H345" s="100"/>
      <x:c r="I345" s="100"/>
      <x:c r="J345" s="104"/>
      <x:c r="K345" s="100"/>
      <x:c r="L345" s="100"/>
      <x:c r="M345" s="100"/>
      <x:c r="N345" s="100"/>
    </x:row>
    <x:row r="346">
      <x:c r="A346" s="98" t="str">
        <x:f>IF(B346="","",ROW()-6)</x:f>
      </x:c>
      <x:c r="B346" s="102"/>
      <x:c r="C346" s="98" t="str">
        <x:f>IF(B346="","",TEXT(B346,"yyyy/mm"))</x:f>
      </x:c>
      <x:c r="D346" s="100"/>
      <x:c r="E346" s="100"/>
      <x:c r="F346" s="100"/>
      <x:c r="G346" s="104"/>
      <x:c r="H346" s="100"/>
      <x:c r="I346" s="100"/>
      <x:c r="J346" s="104"/>
      <x:c r="K346" s="100"/>
      <x:c r="L346" s="100"/>
      <x:c r="M346" s="100"/>
      <x:c r="N346" s="100"/>
    </x:row>
    <x:row r="347">
      <x:c r="A347" s="98" t="str">
        <x:f>IF(B347="","",ROW()-6)</x:f>
      </x:c>
      <x:c r="B347" s="102"/>
      <x:c r="C347" s="98" t="str">
        <x:f>IF(B347="","",TEXT(B347,"yyyy/mm"))</x:f>
      </x:c>
      <x:c r="D347" s="100"/>
      <x:c r="E347" s="100"/>
      <x:c r="F347" s="100"/>
      <x:c r="G347" s="104"/>
      <x:c r="H347" s="100"/>
      <x:c r="I347" s="100"/>
      <x:c r="J347" s="104"/>
      <x:c r="K347" s="100"/>
      <x:c r="L347" s="100"/>
      <x:c r="M347" s="100"/>
      <x:c r="N347" s="100"/>
    </x:row>
    <x:row r="348">
      <x:c r="A348" s="98" t="str">
        <x:f>IF(B348="","",ROW()-6)</x:f>
      </x:c>
      <x:c r="B348" s="102"/>
      <x:c r="C348" s="98" t="str">
        <x:f>IF(B348="","",TEXT(B348,"yyyy/mm"))</x:f>
      </x:c>
      <x:c r="D348" s="100"/>
      <x:c r="E348" s="100"/>
      <x:c r="F348" s="100"/>
      <x:c r="G348" s="104"/>
      <x:c r="H348" s="100"/>
      <x:c r="I348" s="100"/>
      <x:c r="J348" s="104"/>
      <x:c r="K348" s="100"/>
      <x:c r="L348" s="100"/>
      <x:c r="M348" s="100"/>
      <x:c r="N348" s="100"/>
    </x:row>
    <x:row r="349">
      <x:c r="A349" s="98" t="str">
        <x:f>IF(B349="","",ROW()-6)</x:f>
      </x:c>
      <x:c r="B349" s="102"/>
      <x:c r="C349" s="98" t="str">
        <x:f>IF(B349="","",TEXT(B349,"yyyy/mm"))</x:f>
      </x:c>
      <x:c r="D349" s="100"/>
      <x:c r="E349" s="100"/>
      <x:c r="F349" s="100"/>
      <x:c r="G349" s="104"/>
      <x:c r="H349" s="100"/>
      <x:c r="I349" s="100"/>
      <x:c r="J349" s="104"/>
      <x:c r="K349" s="100"/>
      <x:c r="L349" s="100"/>
      <x:c r="M349" s="100"/>
      <x:c r="N349" s="100"/>
    </x:row>
    <x:row r="350">
      <x:c r="A350" s="98" t="str">
        <x:f>IF(B350="","",ROW()-6)</x:f>
      </x:c>
      <x:c r="B350" s="102"/>
      <x:c r="C350" s="98" t="str">
        <x:f>IF(B350="","",TEXT(B350,"yyyy/mm"))</x:f>
      </x:c>
      <x:c r="D350" s="100"/>
      <x:c r="E350" s="100"/>
      <x:c r="F350" s="100"/>
      <x:c r="G350" s="104"/>
      <x:c r="H350" s="100"/>
      <x:c r="I350" s="100"/>
      <x:c r="J350" s="104"/>
      <x:c r="K350" s="100"/>
      <x:c r="L350" s="100"/>
      <x:c r="M350" s="100"/>
      <x:c r="N350" s="100"/>
    </x:row>
    <x:row r="351">
      <x:c r="A351" s="98" t="str">
        <x:f>IF(B351="","",ROW()-6)</x:f>
      </x:c>
      <x:c r="B351" s="102"/>
      <x:c r="C351" s="98" t="str">
        <x:f>IF(B351="","",TEXT(B351,"yyyy/mm"))</x:f>
      </x:c>
      <x:c r="D351" s="100"/>
      <x:c r="E351" s="100"/>
      <x:c r="F351" s="100"/>
      <x:c r="G351" s="104"/>
      <x:c r="H351" s="100"/>
      <x:c r="I351" s="100"/>
      <x:c r="J351" s="104"/>
      <x:c r="K351" s="100"/>
      <x:c r="L351" s="100"/>
      <x:c r="M351" s="100"/>
      <x:c r="N351" s="100"/>
    </x:row>
    <x:row r="352">
      <x:c r="A352" s="98" t="str">
        <x:f>IF(B352="","",ROW()-6)</x:f>
      </x:c>
      <x:c r="B352" s="102"/>
      <x:c r="C352" s="98" t="str">
        <x:f>IF(B352="","",TEXT(B352,"yyyy/mm"))</x:f>
      </x:c>
      <x:c r="D352" s="100"/>
      <x:c r="E352" s="100"/>
      <x:c r="F352" s="100"/>
      <x:c r="G352" s="104"/>
      <x:c r="H352" s="100"/>
      <x:c r="I352" s="100"/>
      <x:c r="J352" s="104"/>
      <x:c r="K352" s="100"/>
      <x:c r="L352" s="100"/>
      <x:c r="M352" s="100"/>
      <x:c r="N352" s="100"/>
    </x:row>
    <x:row r="353">
      <x:c r="A353" s="98" t="str">
        <x:f>IF(B353="","",ROW()-6)</x:f>
      </x:c>
      <x:c r="B353" s="102"/>
      <x:c r="C353" s="98" t="str">
        <x:f>IF(B353="","",TEXT(B353,"yyyy/mm"))</x:f>
      </x:c>
      <x:c r="D353" s="100"/>
      <x:c r="E353" s="100"/>
      <x:c r="F353" s="100"/>
      <x:c r="G353" s="104"/>
      <x:c r="H353" s="100"/>
      <x:c r="I353" s="100"/>
      <x:c r="J353" s="104"/>
      <x:c r="K353" s="100"/>
      <x:c r="L353" s="100"/>
      <x:c r="M353" s="100"/>
      <x:c r="N353" s="100"/>
    </x:row>
    <x:row r="354">
      <x:c r="A354" s="98" t="str">
        <x:f>IF(B354="","",ROW()-6)</x:f>
      </x:c>
      <x:c r="B354" s="102"/>
      <x:c r="C354" s="98" t="str">
        <x:f>IF(B354="","",TEXT(B354,"yyyy/mm"))</x:f>
      </x:c>
      <x:c r="D354" s="100"/>
      <x:c r="E354" s="100"/>
      <x:c r="F354" s="100"/>
      <x:c r="G354" s="104"/>
      <x:c r="H354" s="100"/>
      <x:c r="I354" s="100"/>
      <x:c r="J354" s="104"/>
      <x:c r="K354" s="100"/>
      <x:c r="L354" s="100"/>
      <x:c r="M354" s="100"/>
      <x:c r="N354" s="100"/>
    </x:row>
    <x:row r="355">
      <x:c r="A355" s="98" t="str">
        <x:f>IF(B355="","",ROW()-6)</x:f>
      </x:c>
      <x:c r="B355" s="102"/>
      <x:c r="C355" s="98" t="str">
        <x:f>IF(B355="","",TEXT(B355,"yyyy/mm"))</x:f>
      </x:c>
      <x:c r="D355" s="100"/>
      <x:c r="E355" s="100"/>
      <x:c r="F355" s="100"/>
      <x:c r="G355" s="104"/>
      <x:c r="H355" s="100"/>
      <x:c r="I355" s="100"/>
      <x:c r="J355" s="104"/>
      <x:c r="K355" s="100"/>
      <x:c r="L355" s="100"/>
      <x:c r="M355" s="100"/>
      <x:c r="N355" s="100"/>
    </x:row>
    <x:row r="356">
      <x:c r="A356" s="98" t="str">
        <x:f>IF(B356="","",ROW()-6)</x:f>
      </x:c>
      <x:c r="B356" s="102"/>
      <x:c r="C356" s="98" t="str">
        <x:f>IF(B356="","",TEXT(B356,"yyyy/mm"))</x:f>
      </x:c>
      <x:c r="D356" s="100"/>
      <x:c r="E356" s="100"/>
      <x:c r="F356" s="100"/>
      <x:c r="G356" s="104"/>
      <x:c r="H356" s="100"/>
      <x:c r="I356" s="100"/>
      <x:c r="J356" s="104"/>
      <x:c r="K356" s="100"/>
      <x:c r="L356" s="100"/>
      <x:c r="M356" s="100"/>
      <x:c r="N356" s="100"/>
    </x:row>
    <x:row r="357">
      <x:c r="A357" s="98" t="str">
        <x:f>IF(B357="","",ROW()-6)</x:f>
      </x:c>
      <x:c r="B357" s="102"/>
      <x:c r="C357" s="98" t="str">
        <x:f>IF(B357="","",TEXT(B357,"yyyy/mm"))</x:f>
      </x:c>
      <x:c r="D357" s="100"/>
      <x:c r="E357" s="100"/>
      <x:c r="F357" s="100"/>
      <x:c r="G357" s="104"/>
      <x:c r="H357" s="100"/>
      <x:c r="I357" s="100"/>
      <x:c r="J357" s="104"/>
      <x:c r="K357" s="100"/>
      <x:c r="L357" s="100"/>
      <x:c r="M357" s="100"/>
      <x:c r="N357" s="100"/>
    </x:row>
    <x:row r="358">
      <x:c r="A358" s="98" t="str">
        <x:f>IF(B358="","",ROW()-6)</x:f>
      </x:c>
      <x:c r="B358" s="102"/>
      <x:c r="C358" s="98" t="str">
        <x:f>IF(B358="","",TEXT(B358,"yyyy/mm"))</x:f>
      </x:c>
      <x:c r="D358" s="100"/>
      <x:c r="E358" s="100"/>
      <x:c r="F358" s="100"/>
      <x:c r="G358" s="104"/>
      <x:c r="H358" s="100"/>
      <x:c r="I358" s="100"/>
      <x:c r="J358" s="104"/>
      <x:c r="K358" s="100"/>
      <x:c r="L358" s="100"/>
      <x:c r="M358" s="100"/>
      <x:c r="N358" s="100"/>
    </x:row>
    <x:row r="359">
      <x:c r="A359" s="98" t="str">
        <x:f>IF(B359="","",ROW()-6)</x:f>
      </x:c>
      <x:c r="B359" s="102"/>
      <x:c r="C359" s="98" t="str">
        <x:f>IF(B359="","",TEXT(B359,"yyyy/mm"))</x:f>
      </x:c>
      <x:c r="D359" s="100"/>
      <x:c r="E359" s="100"/>
      <x:c r="F359" s="100"/>
      <x:c r="G359" s="104"/>
      <x:c r="H359" s="100"/>
      <x:c r="I359" s="100"/>
      <x:c r="J359" s="104"/>
      <x:c r="K359" s="100"/>
      <x:c r="L359" s="100"/>
      <x:c r="M359" s="100"/>
      <x:c r="N359" s="100"/>
    </x:row>
    <x:row r="360">
      <x:c r="A360" s="98" t="str">
        <x:f>IF(B360="","",ROW()-6)</x:f>
      </x:c>
      <x:c r="B360" s="102"/>
      <x:c r="C360" s="98" t="str">
        <x:f>IF(B360="","",TEXT(B360,"yyyy/mm"))</x:f>
      </x:c>
      <x:c r="D360" s="100"/>
      <x:c r="E360" s="100"/>
      <x:c r="F360" s="100"/>
      <x:c r="G360" s="104"/>
      <x:c r="H360" s="100"/>
      <x:c r="I360" s="100"/>
      <x:c r="J360" s="104"/>
      <x:c r="K360" s="100"/>
      <x:c r="L360" s="100"/>
      <x:c r="M360" s="100"/>
      <x:c r="N360" s="100"/>
    </x:row>
    <x:row r="361">
      <x:c r="A361" s="98" t="str">
        <x:f>IF(B361="","",ROW()-6)</x:f>
      </x:c>
      <x:c r="B361" s="102"/>
      <x:c r="C361" s="98" t="str">
        <x:f>IF(B361="","",TEXT(B361,"yyyy/mm"))</x:f>
      </x:c>
      <x:c r="D361" s="100"/>
      <x:c r="E361" s="100"/>
      <x:c r="F361" s="100"/>
      <x:c r="G361" s="104"/>
      <x:c r="H361" s="100"/>
      <x:c r="I361" s="100"/>
      <x:c r="J361" s="104"/>
      <x:c r="K361" s="100"/>
      <x:c r="L361" s="100"/>
      <x:c r="M361" s="100"/>
      <x:c r="N361" s="100"/>
    </x:row>
    <x:row r="362">
      <x:c r="A362" s="98" t="str">
        <x:f>IF(B362="","",ROW()-6)</x:f>
      </x:c>
      <x:c r="B362" s="102"/>
      <x:c r="C362" s="98" t="str">
        <x:f>IF(B362="","",TEXT(B362,"yyyy/mm"))</x:f>
      </x:c>
      <x:c r="D362" s="100"/>
      <x:c r="E362" s="100"/>
      <x:c r="F362" s="100"/>
      <x:c r="G362" s="104"/>
      <x:c r="H362" s="100"/>
      <x:c r="I362" s="100"/>
      <x:c r="J362" s="104"/>
      <x:c r="K362" s="100"/>
      <x:c r="L362" s="100"/>
      <x:c r="M362" s="100"/>
      <x:c r="N362" s="100"/>
    </x:row>
    <x:row r="363">
      <x:c r="A363" s="98" t="str">
        <x:f>IF(B363="","",ROW()-6)</x:f>
      </x:c>
      <x:c r="B363" s="102"/>
      <x:c r="C363" s="98" t="str">
        <x:f>IF(B363="","",TEXT(B363,"yyyy/mm"))</x:f>
      </x:c>
      <x:c r="D363" s="100"/>
      <x:c r="E363" s="100"/>
      <x:c r="F363" s="100"/>
      <x:c r="G363" s="104"/>
      <x:c r="H363" s="100"/>
      <x:c r="I363" s="100"/>
      <x:c r="J363" s="104"/>
      <x:c r="K363" s="100"/>
      <x:c r="L363" s="100"/>
      <x:c r="M363" s="100"/>
      <x:c r="N363" s="100"/>
    </x:row>
    <x:row r="364">
      <x:c r="A364" s="98" t="str">
        <x:f>IF(B364="","",ROW()-6)</x:f>
      </x:c>
      <x:c r="B364" s="102"/>
      <x:c r="C364" s="98" t="str">
        <x:f>IF(B364="","",TEXT(B364,"yyyy/mm"))</x:f>
      </x:c>
      <x:c r="D364" s="100"/>
      <x:c r="E364" s="100"/>
      <x:c r="F364" s="100"/>
      <x:c r="G364" s="104"/>
      <x:c r="H364" s="100"/>
      <x:c r="I364" s="100"/>
      <x:c r="J364" s="104"/>
      <x:c r="K364" s="100"/>
      <x:c r="L364" s="100"/>
      <x:c r="M364" s="100"/>
      <x:c r="N364" s="100"/>
    </x:row>
    <x:row r="365">
      <x:c r="A365" s="98" t="str">
        <x:f>IF(B365="","",ROW()-6)</x:f>
      </x:c>
      <x:c r="B365" s="102"/>
      <x:c r="C365" s="98" t="str">
        <x:f>IF(B365="","",TEXT(B365,"yyyy/mm"))</x:f>
      </x:c>
      <x:c r="D365" s="100"/>
      <x:c r="E365" s="100"/>
      <x:c r="F365" s="100"/>
      <x:c r="G365" s="104"/>
      <x:c r="H365" s="100"/>
      <x:c r="I365" s="100"/>
      <x:c r="J365" s="104"/>
      <x:c r="K365" s="100"/>
      <x:c r="L365" s="100"/>
      <x:c r="M365" s="100"/>
      <x:c r="N365" s="100"/>
    </x:row>
    <x:row r="366">
      <x:c r="A366" s="98" t="str">
        <x:f>IF(B366="","",ROW()-6)</x:f>
      </x:c>
      <x:c r="B366" s="102"/>
      <x:c r="C366" s="98" t="str">
        <x:f>IF(B366="","",TEXT(B366,"yyyy/mm"))</x:f>
      </x:c>
      <x:c r="D366" s="100"/>
      <x:c r="E366" s="100"/>
      <x:c r="F366" s="100"/>
      <x:c r="G366" s="104"/>
      <x:c r="H366" s="100"/>
      <x:c r="I366" s="100"/>
      <x:c r="J366" s="104"/>
      <x:c r="K366" s="100"/>
      <x:c r="L366" s="100"/>
      <x:c r="M366" s="100"/>
      <x:c r="N366" s="100"/>
    </x:row>
    <x:row r="367">
      <x:c r="A367" s="98" t="str">
        <x:f>IF(B367="","",ROW()-6)</x:f>
      </x:c>
      <x:c r="B367" s="102"/>
      <x:c r="C367" s="98" t="str">
        <x:f>IF(B367="","",TEXT(B367,"yyyy/mm"))</x:f>
      </x:c>
      <x:c r="D367" s="100"/>
      <x:c r="E367" s="100"/>
      <x:c r="F367" s="100"/>
      <x:c r="G367" s="104"/>
      <x:c r="H367" s="100"/>
      <x:c r="I367" s="100"/>
      <x:c r="J367" s="104"/>
      <x:c r="K367" s="100"/>
      <x:c r="L367" s="100"/>
      <x:c r="M367" s="100"/>
      <x:c r="N367" s="100"/>
    </x:row>
    <x:row r="368">
      <x:c r="A368" s="98" t="str">
        <x:f>IF(B368="","",ROW()-6)</x:f>
      </x:c>
      <x:c r="B368" s="102"/>
      <x:c r="C368" s="98" t="str">
        <x:f>IF(B368="","",TEXT(B368,"yyyy/mm"))</x:f>
      </x:c>
      <x:c r="D368" s="100"/>
      <x:c r="E368" s="100"/>
      <x:c r="F368" s="100"/>
      <x:c r="G368" s="104"/>
      <x:c r="H368" s="100"/>
      <x:c r="I368" s="100"/>
      <x:c r="J368" s="104"/>
      <x:c r="K368" s="100"/>
      <x:c r="L368" s="100"/>
      <x:c r="M368" s="100"/>
      <x:c r="N368" s="100"/>
    </x:row>
    <x:row r="369">
      <x:c r="A369" s="98" t="str">
        <x:f>IF(B369="","",ROW()-6)</x:f>
      </x:c>
      <x:c r="B369" s="102"/>
      <x:c r="C369" s="98" t="str">
        <x:f>IF(B369="","",TEXT(B369,"yyyy/mm"))</x:f>
      </x:c>
      <x:c r="D369" s="100"/>
      <x:c r="E369" s="100"/>
      <x:c r="F369" s="100"/>
      <x:c r="G369" s="104"/>
      <x:c r="H369" s="100"/>
      <x:c r="I369" s="100"/>
      <x:c r="J369" s="104"/>
      <x:c r="K369" s="100"/>
      <x:c r="L369" s="100"/>
      <x:c r="M369" s="100"/>
      <x:c r="N369" s="100"/>
    </x:row>
    <x:row r="370">
      <x:c r="A370" s="98" t="str">
        <x:f>IF(B370="","",ROW()-6)</x:f>
      </x:c>
      <x:c r="B370" s="102"/>
      <x:c r="C370" s="98" t="str">
        <x:f>IF(B370="","",TEXT(B370,"yyyy/mm"))</x:f>
      </x:c>
      <x:c r="D370" s="100"/>
      <x:c r="E370" s="100"/>
      <x:c r="F370" s="100"/>
      <x:c r="G370" s="104"/>
      <x:c r="H370" s="100"/>
      <x:c r="I370" s="100"/>
      <x:c r="J370" s="104"/>
      <x:c r="K370" s="100"/>
      <x:c r="L370" s="100"/>
      <x:c r="M370" s="100"/>
      <x:c r="N370" s="100"/>
    </x:row>
    <x:row r="371">
      <x:c r="A371" s="98" t="str">
        <x:f>IF(B371="","",ROW()-6)</x:f>
      </x:c>
      <x:c r="B371" s="102"/>
      <x:c r="C371" s="98" t="str">
        <x:f>IF(B371="","",TEXT(B371,"yyyy/mm"))</x:f>
      </x:c>
      <x:c r="D371" s="100"/>
      <x:c r="E371" s="100"/>
      <x:c r="F371" s="100"/>
      <x:c r="G371" s="104"/>
      <x:c r="H371" s="100"/>
      <x:c r="I371" s="100"/>
      <x:c r="J371" s="104"/>
      <x:c r="K371" s="100"/>
      <x:c r="L371" s="100"/>
      <x:c r="M371" s="100"/>
      <x:c r="N371" s="100"/>
    </x:row>
    <x:row r="372">
      <x:c r="A372" s="98" t="str">
        <x:f>IF(B372="","",ROW()-6)</x:f>
      </x:c>
      <x:c r="B372" s="102"/>
      <x:c r="C372" s="98" t="str">
        <x:f>IF(B372="","",TEXT(B372,"yyyy/mm"))</x:f>
      </x:c>
      <x:c r="D372" s="100"/>
      <x:c r="E372" s="100"/>
      <x:c r="F372" s="100"/>
      <x:c r="G372" s="104"/>
      <x:c r="H372" s="100"/>
      <x:c r="I372" s="100"/>
      <x:c r="J372" s="104"/>
      <x:c r="K372" s="100"/>
      <x:c r="L372" s="100"/>
      <x:c r="M372" s="100"/>
      <x:c r="N372" s="100"/>
    </x:row>
    <x:row r="373">
      <x:c r="A373" s="98" t="str">
        <x:f>IF(B373="","",ROW()-6)</x:f>
      </x:c>
      <x:c r="B373" s="102"/>
      <x:c r="C373" s="98" t="str">
        <x:f>IF(B373="","",TEXT(B373,"yyyy/mm"))</x:f>
      </x:c>
      <x:c r="D373" s="100"/>
      <x:c r="E373" s="100"/>
      <x:c r="F373" s="100"/>
      <x:c r="G373" s="104"/>
      <x:c r="H373" s="100"/>
      <x:c r="I373" s="100"/>
      <x:c r="J373" s="104"/>
      <x:c r="K373" s="100"/>
      <x:c r="L373" s="100"/>
      <x:c r="M373" s="100"/>
      <x:c r="N373" s="100"/>
    </x:row>
    <x:row r="374">
      <x:c r="A374" s="98" t="str">
        <x:f>IF(B374="","",ROW()-6)</x:f>
      </x:c>
      <x:c r="B374" s="102"/>
      <x:c r="C374" s="98" t="str">
        <x:f>IF(B374="","",TEXT(B374,"yyyy/mm"))</x:f>
      </x:c>
      <x:c r="D374" s="100"/>
      <x:c r="E374" s="100"/>
      <x:c r="F374" s="100"/>
      <x:c r="G374" s="104"/>
      <x:c r="H374" s="100"/>
      <x:c r="I374" s="100"/>
      <x:c r="J374" s="104"/>
      <x:c r="K374" s="100"/>
      <x:c r="L374" s="100"/>
      <x:c r="M374" s="100"/>
      <x:c r="N374" s="100"/>
    </x:row>
    <x:row r="375">
      <x:c r="A375" s="98" t="str">
        <x:f>IF(B375="","",ROW()-6)</x:f>
      </x:c>
      <x:c r="B375" s="102"/>
      <x:c r="C375" s="98" t="str">
        <x:f>IF(B375="","",TEXT(B375,"yyyy/mm"))</x:f>
      </x:c>
      <x:c r="D375" s="100"/>
      <x:c r="E375" s="100"/>
      <x:c r="F375" s="100"/>
      <x:c r="G375" s="104"/>
      <x:c r="H375" s="100"/>
      <x:c r="I375" s="100"/>
      <x:c r="J375" s="104"/>
      <x:c r="K375" s="100"/>
      <x:c r="L375" s="100"/>
      <x:c r="M375" s="100"/>
      <x:c r="N375" s="100"/>
    </x:row>
    <x:row r="376">
      <x:c r="A376" s="98" t="str">
        <x:f>IF(B376="","",ROW()-6)</x:f>
      </x:c>
      <x:c r="B376" s="102"/>
      <x:c r="C376" s="98" t="str">
        <x:f>IF(B376="","",TEXT(B376,"yyyy/mm"))</x:f>
      </x:c>
      <x:c r="D376" s="100"/>
      <x:c r="E376" s="100"/>
      <x:c r="F376" s="100"/>
      <x:c r="G376" s="104"/>
      <x:c r="H376" s="100"/>
      <x:c r="I376" s="100"/>
      <x:c r="J376" s="104"/>
      <x:c r="K376" s="100"/>
      <x:c r="L376" s="100"/>
      <x:c r="M376" s="100"/>
      <x:c r="N376" s="100"/>
    </x:row>
    <x:row r="377">
      <x:c r="A377" s="98" t="str">
        <x:f>IF(B377="","",ROW()-6)</x:f>
      </x:c>
      <x:c r="B377" s="102"/>
      <x:c r="C377" s="98" t="str">
        <x:f>IF(B377="","",TEXT(B377,"yyyy/mm"))</x:f>
      </x:c>
      <x:c r="D377" s="100"/>
      <x:c r="E377" s="100"/>
      <x:c r="F377" s="100"/>
      <x:c r="G377" s="104"/>
      <x:c r="H377" s="100"/>
      <x:c r="I377" s="100"/>
      <x:c r="J377" s="104"/>
      <x:c r="K377" s="100"/>
      <x:c r="L377" s="100"/>
      <x:c r="M377" s="100"/>
      <x:c r="N377" s="100"/>
    </x:row>
    <x:row r="378">
      <x:c r="A378" s="98" t="str">
        <x:f>IF(B378="","",ROW()-6)</x:f>
      </x:c>
      <x:c r="B378" s="102"/>
      <x:c r="C378" s="98" t="str">
        <x:f>IF(B378="","",TEXT(B378,"yyyy/mm"))</x:f>
      </x:c>
      <x:c r="D378" s="100"/>
      <x:c r="E378" s="100"/>
      <x:c r="F378" s="100"/>
      <x:c r="G378" s="104"/>
      <x:c r="H378" s="100"/>
      <x:c r="I378" s="100"/>
      <x:c r="J378" s="104"/>
      <x:c r="K378" s="100"/>
      <x:c r="L378" s="100"/>
      <x:c r="M378" s="100"/>
      <x:c r="N378" s="100"/>
    </x:row>
    <x:row r="379">
      <x:c r="A379" s="98" t="str">
        <x:f>IF(B379="","",ROW()-6)</x:f>
      </x:c>
      <x:c r="B379" s="102"/>
      <x:c r="C379" s="98" t="str">
        <x:f>IF(B379="","",TEXT(B379,"yyyy/mm"))</x:f>
      </x:c>
      <x:c r="D379" s="100"/>
      <x:c r="E379" s="100"/>
      <x:c r="F379" s="100"/>
      <x:c r="G379" s="104"/>
      <x:c r="H379" s="100"/>
      <x:c r="I379" s="100"/>
      <x:c r="J379" s="104"/>
      <x:c r="K379" s="100"/>
      <x:c r="L379" s="100"/>
      <x:c r="M379" s="100"/>
      <x:c r="N379" s="100"/>
    </x:row>
    <x:row r="380">
      <x:c r="A380" s="98" t="str">
        <x:f>IF(B380="","",ROW()-6)</x:f>
      </x:c>
      <x:c r="B380" s="102"/>
      <x:c r="C380" s="98" t="str">
        <x:f>IF(B380="","",TEXT(B380,"yyyy/mm"))</x:f>
      </x:c>
      <x:c r="D380" s="100"/>
      <x:c r="E380" s="100"/>
      <x:c r="F380" s="100"/>
      <x:c r="G380" s="104"/>
      <x:c r="H380" s="100"/>
      <x:c r="I380" s="100"/>
      <x:c r="J380" s="104"/>
      <x:c r="K380" s="100"/>
      <x:c r="L380" s="100"/>
      <x:c r="M380" s="100"/>
      <x:c r="N380" s="100"/>
    </x:row>
    <x:row r="381">
      <x:c r="A381" s="98" t="str">
        <x:f>IF(B381="","",ROW()-6)</x:f>
      </x:c>
      <x:c r="B381" s="102"/>
      <x:c r="C381" s="98" t="str">
        <x:f>IF(B381="","",TEXT(B381,"yyyy/mm"))</x:f>
      </x:c>
      <x:c r="D381" s="100"/>
      <x:c r="E381" s="100"/>
      <x:c r="F381" s="100"/>
      <x:c r="G381" s="104"/>
      <x:c r="H381" s="100"/>
      <x:c r="I381" s="100"/>
      <x:c r="J381" s="104"/>
      <x:c r="K381" s="100"/>
      <x:c r="L381" s="100"/>
      <x:c r="M381" s="100"/>
      <x:c r="N381" s="100"/>
    </x:row>
    <x:row r="382">
      <x:c r="A382" s="98" t="str">
        <x:f>IF(B382="","",ROW()-6)</x:f>
      </x:c>
      <x:c r="B382" s="102"/>
      <x:c r="C382" s="98" t="str">
        <x:f>IF(B382="","",TEXT(B382,"yyyy/mm"))</x:f>
      </x:c>
      <x:c r="D382" s="100"/>
      <x:c r="E382" s="100"/>
      <x:c r="F382" s="100"/>
      <x:c r="G382" s="104"/>
      <x:c r="H382" s="100"/>
      <x:c r="I382" s="100"/>
      <x:c r="J382" s="104"/>
      <x:c r="K382" s="100"/>
      <x:c r="L382" s="100"/>
      <x:c r="M382" s="100"/>
      <x:c r="N382" s="100"/>
    </x:row>
    <x:row r="383">
      <x:c r="A383" s="98" t="str">
        <x:f>IF(B383="","",ROW()-6)</x:f>
      </x:c>
      <x:c r="B383" s="102"/>
      <x:c r="C383" s="98" t="str">
        <x:f>IF(B383="","",TEXT(B383,"yyyy/mm"))</x:f>
      </x:c>
      <x:c r="D383" s="100"/>
      <x:c r="E383" s="100"/>
      <x:c r="F383" s="100"/>
      <x:c r="G383" s="104"/>
      <x:c r="H383" s="100"/>
      <x:c r="I383" s="100"/>
      <x:c r="J383" s="104"/>
      <x:c r="K383" s="100"/>
      <x:c r="L383" s="100"/>
      <x:c r="M383" s="100"/>
      <x:c r="N383" s="100"/>
    </x:row>
    <x:row r="384">
      <x:c r="A384" s="98" t="str">
        <x:f>IF(B384="","",ROW()-6)</x:f>
      </x:c>
      <x:c r="B384" s="102"/>
      <x:c r="C384" s="98" t="str">
        <x:f>IF(B384="","",TEXT(B384,"yyyy/mm"))</x:f>
      </x:c>
      <x:c r="D384" s="100"/>
      <x:c r="E384" s="100"/>
      <x:c r="F384" s="100"/>
      <x:c r="G384" s="104"/>
      <x:c r="H384" s="100"/>
      <x:c r="I384" s="100"/>
      <x:c r="J384" s="104"/>
      <x:c r="K384" s="100"/>
      <x:c r="L384" s="100"/>
      <x:c r="M384" s="100"/>
      <x:c r="N384" s="100"/>
    </x:row>
    <x:row r="385">
      <x:c r="A385" s="98" t="str">
        <x:f>IF(B385="","",ROW()-6)</x:f>
      </x:c>
      <x:c r="B385" s="102"/>
      <x:c r="C385" s="98" t="str">
        <x:f>IF(B385="","",TEXT(B385,"yyyy/mm"))</x:f>
      </x:c>
      <x:c r="D385" s="100"/>
      <x:c r="E385" s="100"/>
      <x:c r="F385" s="100"/>
      <x:c r="G385" s="104"/>
      <x:c r="H385" s="100"/>
      <x:c r="I385" s="100"/>
      <x:c r="J385" s="104"/>
      <x:c r="K385" s="100"/>
      <x:c r="L385" s="100"/>
      <x:c r="M385" s="100"/>
      <x:c r="N385" s="100"/>
    </x:row>
    <x:row r="386">
      <x:c r="A386" s="98" t="str">
        <x:f>IF(B386="","",ROW()-6)</x:f>
      </x:c>
      <x:c r="B386" s="102"/>
      <x:c r="C386" s="98" t="str">
        <x:f>IF(B386="","",TEXT(B386,"yyyy/mm"))</x:f>
      </x:c>
      <x:c r="D386" s="100"/>
      <x:c r="E386" s="100"/>
      <x:c r="F386" s="100"/>
      <x:c r="G386" s="104"/>
      <x:c r="H386" s="100"/>
      <x:c r="I386" s="100"/>
      <x:c r="J386" s="104"/>
      <x:c r="K386" s="100"/>
      <x:c r="L386" s="100"/>
      <x:c r="M386" s="100"/>
      <x:c r="N386" s="100"/>
    </x:row>
    <x:row r="387">
      <x:c r="A387" s="98" t="str">
        <x:f>IF(B387="","",ROW()-6)</x:f>
      </x:c>
      <x:c r="B387" s="102"/>
      <x:c r="C387" s="98" t="str">
        <x:f>IF(B387="","",TEXT(B387,"yyyy/mm"))</x:f>
      </x:c>
      <x:c r="D387" s="100"/>
      <x:c r="E387" s="100"/>
      <x:c r="F387" s="100"/>
      <x:c r="G387" s="104"/>
      <x:c r="H387" s="100"/>
      <x:c r="I387" s="100"/>
      <x:c r="J387" s="104"/>
      <x:c r="K387" s="100"/>
      <x:c r="L387" s="100"/>
      <x:c r="M387" s="100"/>
      <x:c r="N387" s="100"/>
    </x:row>
    <x:row r="388">
      <x:c r="A388" s="98" t="str">
        <x:f>IF(B388="","",ROW()-6)</x:f>
      </x:c>
      <x:c r="B388" s="102"/>
      <x:c r="C388" s="98" t="str">
        <x:f>IF(B388="","",TEXT(B388,"yyyy/mm"))</x:f>
      </x:c>
      <x:c r="D388" s="100"/>
      <x:c r="E388" s="100"/>
      <x:c r="F388" s="100"/>
      <x:c r="G388" s="104"/>
      <x:c r="H388" s="100"/>
      <x:c r="I388" s="100"/>
      <x:c r="J388" s="104"/>
      <x:c r="K388" s="100"/>
      <x:c r="L388" s="100"/>
      <x:c r="M388" s="100"/>
      <x:c r="N388" s="100"/>
    </x:row>
    <x:row r="389">
      <x:c r="A389" s="98" t="str">
        <x:f>IF(B389="","",ROW()-6)</x:f>
      </x:c>
      <x:c r="B389" s="102"/>
      <x:c r="C389" s="98" t="str">
        <x:f>IF(B389="","",TEXT(B389,"yyyy/mm"))</x:f>
      </x:c>
      <x:c r="D389" s="100"/>
      <x:c r="E389" s="100"/>
      <x:c r="F389" s="100"/>
      <x:c r="G389" s="104"/>
      <x:c r="H389" s="100"/>
      <x:c r="I389" s="100"/>
      <x:c r="J389" s="104"/>
      <x:c r="K389" s="100"/>
      <x:c r="L389" s="100"/>
      <x:c r="M389" s="100"/>
      <x:c r="N389" s="100"/>
    </x:row>
    <x:row r="390">
      <x:c r="A390" s="98" t="str">
        <x:f>IF(B390="","",ROW()-6)</x:f>
      </x:c>
      <x:c r="B390" s="102"/>
      <x:c r="C390" s="98" t="str">
        <x:f>IF(B390="","",TEXT(B390,"yyyy/mm"))</x:f>
      </x:c>
      <x:c r="D390" s="100"/>
      <x:c r="E390" s="100"/>
      <x:c r="F390" s="100"/>
      <x:c r="G390" s="104"/>
      <x:c r="H390" s="100"/>
      <x:c r="I390" s="100"/>
      <x:c r="J390" s="104"/>
      <x:c r="K390" s="100"/>
      <x:c r="L390" s="100"/>
      <x:c r="M390" s="100"/>
      <x:c r="N390" s="100"/>
    </x:row>
    <x:row r="391">
      <x:c r="A391" s="98" t="str">
        <x:f>IF(B391="","",ROW()-6)</x:f>
      </x:c>
      <x:c r="B391" s="102"/>
      <x:c r="C391" s="98" t="str">
        <x:f>IF(B391="","",TEXT(B391,"yyyy/mm"))</x:f>
      </x:c>
      <x:c r="D391" s="100"/>
      <x:c r="E391" s="100"/>
      <x:c r="F391" s="100"/>
      <x:c r="G391" s="104"/>
      <x:c r="H391" s="100"/>
      <x:c r="I391" s="100"/>
      <x:c r="J391" s="104"/>
      <x:c r="K391" s="100"/>
      <x:c r="L391" s="100"/>
      <x:c r="M391" s="100"/>
      <x:c r="N391" s="100"/>
    </x:row>
    <x:row r="392">
      <x:c r="A392" s="98" t="str">
        <x:f>IF(B392="","",ROW()-6)</x:f>
      </x:c>
      <x:c r="B392" s="102"/>
      <x:c r="C392" s="98" t="str">
        <x:f>IF(B392="","",TEXT(B392,"yyyy/mm"))</x:f>
      </x:c>
      <x:c r="D392" s="100"/>
      <x:c r="E392" s="100"/>
      <x:c r="F392" s="100"/>
      <x:c r="G392" s="104"/>
      <x:c r="H392" s="100"/>
      <x:c r="I392" s="100"/>
      <x:c r="J392" s="104"/>
      <x:c r="K392" s="100"/>
      <x:c r="L392" s="100"/>
      <x:c r="M392" s="100"/>
      <x:c r="N392" s="100"/>
    </x:row>
    <x:row r="393">
      <x:c r="A393" s="98" t="str">
        <x:f>IF(B393="","",ROW()-6)</x:f>
      </x:c>
      <x:c r="B393" s="102"/>
      <x:c r="C393" s="98" t="str">
        <x:f>IF(B393="","",TEXT(B393,"yyyy/mm"))</x:f>
      </x:c>
      <x:c r="D393" s="100"/>
      <x:c r="E393" s="100"/>
      <x:c r="F393" s="100"/>
      <x:c r="G393" s="104"/>
      <x:c r="H393" s="100"/>
      <x:c r="I393" s="100"/>
      <x:c r="J393" s="104"/>
      <x:c r="K393" s="100"/>
      <x:c r="L393" s="100"/>
      <x:c r="M393" s="100"/>
      <x:c r="N393" s="100"/>
    </x:row>
    <x:row r="394">
      <x:c r="A394" s="98" t="str">
        <x:f>IF(B394="","",ROW()-6)</x:f>
      </x:c>
      <x:c r="B394" s="102"/>
      <x:c r="C394" s="98" t="str">
        <x:f>IF(B394="","",TEXT(B394,"yyyy/mm"))</x:f>
      </x:c>
      <x:c r="D394" s="100"/>
      <x:c r="E394" s="100"/>
      <x:c r="F394" s="100"/>
      <x:c r="G394" s="104"/>
      <x:c r="H394" s="100"/>
      <x:c r="I394" s="100"/>
      <x:c r="J394" s="104"/>
      <x:c r="K394" s="100"/>
      <x:c r="L394" s="100"/>
      <x:c r="M394" s="100"/>
      <x:c r="N394" s="100"/>
    </x:row>
    <x:row r="395">
      <x:c r="A395" s="98" t="str">
        <x:f>IF(B395="","",ROW()-6)</x:f>
      </x:c>
      <x:c r="B395" s="102"/>
      <x:c r="C395" s="98" t="str">
        <x:f>IF(B395="","",TEXT(B395,"yyyy/mm"))</x:f>
      </x:c>
      <x:c r="D395" s="100"/>
      <x:c r="E395" s="100"/>
      <x:c r="F395" s="100"/>
      <x:c r="G395" s="104"/>
      <x:c r="H395" s="100"/>
      <x:c r="I395" s="100"/>
      <x:c r="J395" s="104"/>
      <x:c r="K395" s="100"/>
      <x:c r="L395" s="100"/>
      <x:c r="M395" s="100"/>
      <x:c r="N395" s="100"/>
    </x:row>
    <x:row r="396">
      <x:c r="A396" s="98" t="str">
        <x:f>IF(B396="","",ROW()-6)</x:f>
      </x:c>
      <x:c r="B396" s="102"/>
      <x:c r="C396" s="98" t="str">
        <x:f>IF(B396="","",TEXT(B396,"yyyy/mm"))</x:f>
      </x:c>
      <x:c r="D396" s="100"/>
      <x:c r="E396" s="100"/>
      <x:c r="F396" s="100"/>
      <x:c r="G396" s="104"/>
      <x:c r="H396" s="100"/>
      <x:c r="I396" s="100"/>
      <x:c r="J396" s="104"/>
      <x:c r="K396" s="100"/>
      <x:c r="L396" s="100"/>
      <x:c r="M396" s="100"/>
      <x:c r="N396" s="100"/>
    </x:row>
    <x:row r="397">
      <x:c r="A397" s="98" t="str">
        <x:f>IF(B397="","",ROW()-6)</x:f>
      </x:c>
      <x:c r="B397" s="102"/>
      <x:c r="C397" s="98" t="str">
        <x:f>IF(B397="","",TEXT(B397,"yyyy/mm"))</x:f>
      </x:c>
      <x:c r="D397" s="100"/>
      <x:c r="E397" s="100"/>
      <x:c r="F397" s="100"/>
      <x:c r="G397" s="104"/>
      <x:c r="H397" s="100"/>
      <x:c r="I397" s="100"/>
      <x:c r="J397" s="104"/>
      <x:c r="K397" s="100"/>
      <x:c r="L397" s="100"/>
      <x:c r="M397" s="100"/>
      <x:c r="N397" s="100"/>
    </x:row>
    <x:row r="398">
      <x:c r="A398" s="98" t="str">
        <x:f>IF(B398="","",ROW()-6)</x:f>
      </x:c>
      <x:c r="B398" s="102"/>
      <x:c r="C398" s="98" t="str">
        <x:f>IF(B398="","",TEXT(B398,"yyyy/mm"))</x:f>
      </x:c>
      <x:c r="D398" s="100"/>
      <x:c r="E398" s="100"/>
      <x:c r="F398" s="100"/>
      <x:c r="G398" s="104"/>
      <x:c r="H398" s="100"/>
      <x:c r="I398" s="100"/>
      <x:c r="J398" s="104"/>
      <x:c r="K398" s="100"/>
      <x:c r="L398" s="100"/>
      <x:c r="M398" s="100"/>
      <x:c r="N398" s="100"/>
    </x:row>
    <x:row r="399">
      <x:c r="A399" s="98" t="str">
        <x:f>IF(B399="","",ROW()-6)</x:f>
      </x:c>
      <x:c r="B399" s="102"/>
      <x:c r="C399" s="98" t="str">
        <x:f>IF(B399="","",TEXT(B399,"yyyy/mm"))</x:f>
      </x:c>
      <x:c r="D399" s="100"/>
      <x:c r="E399" s="100"/>
      <x:c r="F399" s="100"/>
      <x:c r="G399" s="104"/>
      <x:c r="H399" s="100"/>
      <x:c r="I399" s="100"/>
      <x:c r="J399" s="104"/>
      <x:c r="K399" s="100"/>
      <x:c r="L399" s="100"/>
      <x:c r="M399" s="100"/>
      <x:c r="N399" s="100"/>
    </x:row>
    <x:row r="400">
      <x:c r="A400" s="98" t="str">
        <x:f>IF(B400="","",ROW()-6)</x:f>
      </x:c>
      <x:c r="B400" s="102"/>
      <x:c r="C400" s="98" t="str">
        <x:f>IF(B400="","",TEXT(B400,"yyyy/mm"))</x:f>
      </x:c>
      <x:c r="D400" s="100"/>
      <x:c r="E400" s="100"/>
      <x:c r="F400" s="100"/>
      <x:c r="G400" s="104"/>
      <x:c r="H400" s="100"/>
      <x:c r="I400" s="100"/>
      <x:c r="J400" s="104"/>
      <x:c r="K400" s="100"/>
      <x:c r="L400" s="100"/>
      <x:c r="M400" s="100"/>
      <x:c r="N400" s="100"/>
    </x:row>
    <x:row r="401">
      <x:c r="A401" s="98" t="str">
        <x:f>IF(B401="","",ROW()-6)</x:f>
      </x:c>
      <x:c r="B401" s="102"/>
      <x:c r="C401" s="98" t="str">
        <x:f>IF(B401="","",TEXT(B401,"yyyy/mm"))</x:f>
      </x:c>
      <x:c r="D401" s="100"/>
      <x:c r="E401" s="100"/>
      <x:c r="F401" s="100"/>
      <x:c r="G401" s="104"/>
      <x:c r="H401" s="100"/>
      <x:c r="I401" s="100"/>
      <x:c r="J401" s="104"/>
      <x:c r="K401" s="100"/>
      <x:c r="L401" s="100"/>
      <x:c r="M401" s="100"/>
      <x:c r="N401" s="100"/>
    </x:row>
    <x:row r="402">
      <x:c r="A402" s="98" t="str">
        <x:f>IF(B402="","",ROW()-6)</x:f>
      </x:c>
      <x:c r="B402" s="102"/>
      <x:c r="C402" s="98" t="str">
        <x:f>IF(B402="","",TEXT(B402,"yyyy/mm"))</x:f>
      </x:c>
      <x:c r="D402" s="100"/>
      <x:c r="E402" s="100"/>
      <x:c r="F402" s="100"/>
      <x:c r="G402" s="104"/>
      <x:c r="H402" s="100"/>
      <x:c r="I402" s="100"/>
      <x:c r="J402" s="104"/>
      <x:c r="K402" s="100"/>
      <x:c r="L402" s="100"/>
      <x:c r="M402" s="100"/>
      <x:c r="N402" s="100"/>
    </x:row>
    <x:row r="403">
      <x:c r="A403" s="98" t="str">
        <x:f>IF(B403="","",ROW()-6)</x:f>
      </x:c>
      <x:c r="B403" s="102"/>
      <x:c r="C403" s="98" t="str">
        <x:f>IF(B403="","",TEXT(B403,"yyyy/mm"))</x:f>
      </x:c>
      <x:c r="D403" s="100"/>
      <x:c r="E403" s="100"/>
      <x:c r="F403" s="100"/>
      <x:c r="G403" s="104"/>
      <x:c r="H403" s="100"/>
      <x:c r="I403" s="100"/>
      <x:c r="J403" s="104"/>
      <x:c r="K403" s="100"/>
      <x:c r="L403" s="100"/>
      <x:c r="M403" s="100"/>
      <x:c r="N403" s="100"/>
    </x:row>
    <x:row r="404">
      <x:c r="A404" s="98" t="str">
        <x:f>IF(B404="","",ROW()-6)</x:f>
      </x:c>
      <x:c r="B404" s="102"/>
      <x:c r="C404" s="98" t="str">
        <x:f>IF(B404="","",TEXT(B404,"yyyy/mm"))</x:f>
      </x:c>
      <x:c r="D404" s="100"/>
      <x:c r="E404" s="100"/>
      <x:c r="F404" s="100"/>
      <x:c r="G404" s="104"/>
      <x:c r="H404" s="100"/>
      <x:c r="I404" s="100"/>
      <x:c r="J404" s="104"/>
      <x:c r="K404" s="100"/>
      <x:c r="L404" s="100"/>
      <x:c r="M404" s="100"/>
      <x:c r="N404" s="100"/>
    </x:row>
    <x:row r="405">
      <x:c r="A405" s="98" t="str">
        <x:f>IF(B405="","",ROW()-6)</x:f>
      </x:c>
      <x:c r="B405" s="102"/>
      <x:c r="C405" s="98" t="str">
        <x:f>IF(B405="","",TEXT(B405,"yyyy/mm"))</x:f>
      </x:c>
      <x:c r="D405" s="100"/>
      <x:c r="E405" s="100"/>
      <x:c r="F405" s="100"/>
      <x:c r="G405" s="104"/>
      <x:c r="H405" s="100"/>
      <x:c r="I405" s="100"/>
      <x:c r="J405" s="104"/>
      <x:c r="K405" s="100"/>
      <x:c r="L405" s="100"/>
      <x:c r="M405" s="100"/>
      <x:c r="N405" s="100"/>
    </x:row>
    <x:row r="406">
      <x:c r="A406" s="98" t="str">
        <x:f>IF(B406="","",ROW()-6)</x:f>
      </x:c>
      <x:c r="B406" s="102"/>
      <x:c r="C406" s="98" t="str">
        <x:f>IF(B406="","",TEXT(B406,"yyyy/mm"))</x:f>
      </x:c>
      <x:c r="D406" s="100"/>
      <x:c r="E406" s="100"/>
      <x:c r="F406" s="100"/>
      <x:c r="G406" s="104"/>
      <x:c r="H406" s="100"/>
      <x:c r="I406" s="100"/>
      <x:c r="J406" s="104"/>
      <x:c r="K406" s="100"/>
      <x:c r="L406" s="100"/>
      <x:c r="M406" s="100"/>
      <x:c r="N406" s="100"/>
    </x:row>
    <x:row r="407">
      <x:c r="A407" s="98" t="str">
        <x:f>IF(B407="","",ROW()-6)</x:f>
      </x:c>
      <x:c r="B407" s="102"/>
      <x:c r="C407" s="98" t="str">
        <x:f>IF(B407="","",TEXT(B407,"yyyy/mm"))</x:f>
      </x:c>
      <x:c r="D407" s="100"/>
      <x:c r="E407" s="100"/>
      <x:c r="F407" s="100"/>
      <x:c r="G407" s="104"/>
      <x:c r="H407" s="100"/>
      <x:c r="I407" s="100"/>
      <x:c r="J407" s="104"/>
      <x:c r="K407" s="100"/>
      <x:c r="L407" s="100"/>
      <x:c r="M407" s="100"/>
      <x:c r="N407" s="100"/>
    </x:row>
    <x:row r="408">
      <x:c r="A408" s="98" t="str">
        <x:f>IF(B408="","",ROW()-6)</x:f>
      </x:c>
      <x:c r="B408" s="102"/>
      <x:c r="C408" s="98" t="str">
        <x:f>IF(B408="","",TEXT(B408,"yyyy/mm"))</x:f>
      </x:c>
      <x:c r="D408" s="100"/>
      <x:c r="E408" s="100"/>
      <x:c r="F408" s="100"/>
      <x:c r="G408" s="104"/>
      <x:c r="H408" s="100"/>
      <x:c r="I408" s="100"/>
      <x:c r="J408" s="104"/>
      <x:c r="K408" s="100"/>
      <x:c r="L408" s="100"/>
      <x:c r="M408" s="100"/>
      <x:c r="N408" s="100"/>
    </x:row>
    <x:row r="409">
      <x:c r="A409" s="98" t="str">
        <x:f>IF(B409="","",ROW()-6)</x:f>
      </x:c>
      <x:c r="B409" s="102"/>
      <x:c r="C409" s="98" t="str">
        <x:f>IF(B409="","",TEXT(B409,"yyyy/mm"))</x:f>
      </x:c>
      <x:c r="D409" s="100"/>
      <x:c r="E409" s="100"/>
      <x:c r="F409" s="100"/>
      <x:c r="G409" s="104"/>
      <x:c r="H409" s="100"/>
      <x:c r="I409" s="100"/>
      <x:c r="J409" s="104"/>
      <x:c r="K409" s="100"/>
      <x:c r="L409" s="100"/>
      <x:c r="M409" s="100"/>
      <x:c r="N409" s="100"/>
    </x:row>
    <x:row r="410">
      <x:c r="A410" s="98" t="str">
        <x:f>IF(B410="","",ROW()-6)</x:f>
      </x:c>
      <x:c r="B410" s="102"/>
      <x:c r="C410" s="98" t="str">
        <x:f>IF(B410="","",TEXT(B410,"yyyy/mm"))</x:f>
      </x:c>
      <x:c r="D410" s="100"/>
      <x:c r="E410" s="100"/>
      <x:c r="F410" s="100"/>
      <x:c r="G410" s="104"/>
      <x:c r="H410" s="100"/>
      <x:c r="I410" s="100"/>
      <x:c r="J410" s="104"/>
      <x:c r="K410" s="100"/>
      <x:c r="L410" s="100"/>
      <x:c r="M410" s="100"/>
      <x:c r="N410" s="100"/>
    </x:row>
    <x:row r="411">
      <x:c r="A411" s="98" t="str">
        <x:f>IF(B411="","",ROW()-6)</x:f>
      </x:c>
      <x:c r="B411" s="102"/>
      <x:c r="C411" s="98" t="str">
        <x:f>IF(B411="","",TEXT(B411,"yyyy/mm"))</x:f>
      </x:c>
      <x:c r="D411" s="100"/>
      <x:c r="E411" s="100"/>
      <x:c r="F411" s="100"/>
      <x:c r="G411" s="104"/>
      <x:c r="H411" s="100"/>
      <x:c r="I411" s="100"/>
      <x:c r="J411" s="104"/>
      <x:c r="K411" s="100"/>
      <x:c r="L411" s="100"/>
      <x:c r="M411" s="100"/>
      <x:c r="N411" s="100"/>
    </x:row>
    <x:row r="412">
      <x:c r="A412" s="98" t="str">
        <x:f>IF(B412="","",ROW()-6)</x:f>
      </x:c>
      <x:c r="B412" s="102"/>
      <x:c r="C412" s="98" t="str">
        <x:f>IF(B412="","",TEXT(B412,"yyyy/mm"))</x:f>
      </x:c>
      <x:c r="D412" s="100"/>
      <x:c r="E412" s="100"/>
      <x:c r="F412" s="100"/>
      <x:c r="G412" s="104"/>
      <x:c r="H412" s="100"/>
      <x:c r="I412" s="100"/>
      <x:c r="J412" s="104"/>
      <x:c r="K412" s="100"/>
      <x:c r="L412" s="100"/>
      <x:c r="M412" s="100"/>
      <x:c r="N412" s="100"/>
    </x:row>
    <x:row r="413">
      <x:c r="A413" s="98" t="str">
        <x:f>IF(B413="","",ROW()-6)</x:f>
      </x:c>
      <x:c r="B413" s="102"/>
      <x:c r="C413" s="98" t="str">
        <x:f>IF(B413="","",TEXT(B413,"yyyy/mm"))</x:f>
      </x:c>
      <x:c r="D413" s="100"/>
      <x:c r="E413" s="100"/>
      <x:c r="F413" s="100"/>
      <x:c r="G413" s="104"/>
      <x:c r="H413" s="100"/>
      <x:c r="I413" s="100"/>
      <x:c r="J413" s="104"/>
      <x:c r="K413" s="100"/>
      <x:c r="L413" s="100"/>
      <x:c r="M413" s="100"/>
      <x:c r="N413" s="100"/>
    </x:row>
    <x:row r="414">
      <x:c r="A414" s="98" t="str">
        <x:f>IF(B414="","",ROW()-6)</x:f>
      </x:c>
      <x:c r="B414" s="102"/>
      <x:c r="C414" s="98" t="str">
        <x:f>IF(B414="","",TEXT(B414,"yyyy/mm"))</x:f>
      </x:c>
      <x:c r="D414" s="100"/>
      <x:c r="E414" s="100"/>
      <x:c r="F414" s="100"/>
      <x:c r="G414" s="104"/>
      <x:c r="H414" s="100"/>
      <x:c r="I414" s="100"/>
      <x:c r="J414" s="104"/>
      <x:c r="K414" s="100"/>
      <x:c r="L414" s="100"/>
      <x:c r="M414" s="100"/>
      <x:c r="N414" s="100"/>
    </x:row>
    <x:row r="415">
      <x:c r="A415" s="98" t="str">
        <x:f>IF(B415="","",ROW()-6)</x:f>
      </x:c>
      <x:c r="B415" s="102"/>
      <x:c r="C415" s="98" t="str">
        <x:f>IF(B415="","",TEXT(B415,"yyyy/mm"))</x:f>
      </x:c>
      <x:c r="D415" s="100"/>
      <x:c r="E415" s="100"/>
      <x:c r="F415" s="100"/>
      <x:c r="G415" s="104"/>
      <x:c r="H415" s="100"/>
      <x:c r="I415" s="100"/>
      <x:c r="J415" s="104"/>
      <x:c r="K415" s="100"/>
      <x:c r="L415" s="100"/>
      <x:c r="M415" s="100"/>
      <x:c r="N415" s="100"/>
    </x:row>
    <x:row r="416">
      <x:c r="A416" s="98" t="str">
        <x:f>IF(B416="","",ROW()-6)</x:f>
      </x:c>
      <x:c r="B416" s="102"/>
      <x:c r="C416" s="98" t="str">
        <x:f>IF(B416="","",TEXT(B416,"yyyy/mm"))</x:f>
      </x:c>
      <x:c r="D416" s="100"/>
      <x:c r="E416" s="100"/>
      <x:c r="F416" s="100"/>
      <x:c r="G416" s="104"/>
      <x:c r="H416" s="100"/>
      <x:c r="I416" s="100"/>
      <x:c r="J416" s="104"/>
      <x:c r="K416" s="100"/>
      <x:c r="L416" s="100"/>
      <x:c r="M416" s="100"/>
      <x:c r="N416" s="100"/>
    </x:row>
    <x:row r="417">
      <x:c r="A417" s="98" t="str">
        <x:f>IF(B417="","",ROW()-6)</x:f>
      </x:c>
      <x:c r="B417" s="102"/>
      <x:c r="C417" s="98" t="str">
        <x:f>IF(B417="","",TEXT(B417,"yyyy/mm"))</x:f>
      </x:c>
      <x:c r="D417" s="100"/>
      <x:c r="E417" s="100"/>
      <x:c r="F417" s="100"/>
      <x:c r="G417" s="104"/>
      <x:c r="H417" s="100"/>
      <x:c r="I417" s="100"/>
      <x:c r="J417" s="104"/>
      <x:c r="K417" s="100"/>
      <x:c r="L417" s="100"/>
      <x:c r="M417" s="100"/>
      <x:c r="N417" s="100"/>
    </x:row>
    <x:row r="418">
      <x:c r="A418" s="98" t="str">
        <x:f>IF(B418="","",ROW()-6)</x:f>
      </x:c>
      <x:c r="B418" s="102"/>
      <x:c r="C418" s="98" t="str">
        <x:f>IF(B418="","",TEXT(B418,"yyyy/mm"))</x:f>
      </x:c>
      <x:c r="D418" s="100"/>
      <x:c r="E418" s="100"/>
      <x:c r="F418" s="100"/>
      <x:c r="G418" s="104"/>
      <x:c r="H418" s="100"/>
      <x:c r="I418" s="100"/>
      <x:c r="J418" s="104"/>
      <x:c r="K418" s="100"/>
      <x:c r="L418" s="100"/>
      <x:c r="M418" s="100"/>
      <x:c r="N418" s="100"/>
    </x:row>
    <x:row r="419">
      <x:c r="A419" s="98" t="str">
        <x:f>IF(B419="","",ROW()-6)</x:f>
      </x:c>
      <x:c r="B419" s="102"/>
      <x:c r="C419" s="98" t="str">
        <x:f>IF(B419="","",TEXT(B419,"yyyy/mm"))</x:f>
      </x:c>
      <x:c r="D419" s="100"/>
      <x:c r="E419" s="100"/>
      <x:c r="F419" s="100"/>
      <x:c r="G419" s="104"/>
      <x:c r="H419" s="100"/>
      <x:c r="I419" s="100"/>
      <x:c r="J419" s="104"/>
      <x:c r="K419" s="100"/>
      <x:c r="L419" s="100"/>
      <x:c r="M419" s="100"/>
      <x:c r="N419" s="100"/>
    </x:row>
    <x:row r="420">
      <x:c r="A420" s="98" t="str">
        <x:f>IF(B420="","",ROW()-6)</x:f>
      </x:c>
      <x:c r="B420" s="102"/>
      <x:c r="C420" s="98" t="str">
        <x:f>IF(B420="","",TEXT(B420,"yyyy/mm"))</x:f>
      </x:c>
      <x:c r="D420" s="100"/>
      <x:c r="E420" s="100"/>
      <x:c r="F420" s="100"/>
      <x:c r="G420" s="104"/>
      <x:c r="H420" s="100"/>
      <x:c r="I420" s="100"/>
      <x:c r="J420" s="104"/>
      <x:c r="K420" s="100"/>
      <x:c r="L420" s="100"/>
      <x:c r="M420" s="100"/>
      <x:c r="N420" s="100"/>
    </x:row>
    <x:row r="421">
      <x:c r="A421" s="98" t="str">
        <x:f>IF(B421="","",ROW()-6)</x:f>
      </x:c>
      <x:c r="B421" s="102"/>
      <x:c r="C421" s="98" t="str">
        <x:f>IF(B421="","",TEXT(B421,"yyyy/mm"))</x:f>
      </x:c>
      <x:c r="D421" s="100"/>
      <x:c r="E421" s="100"/>
      <x:c r="F421" s="100"/>
      <x:c r="G421" s="104"/>
      <x:c r="H421" s="100"/>
      <x:c r="I421" s="100"/>
      <x:c r="J421" s="104"/>
      <x:c r="K421" s="100"/>
      <x:c r="L421" s="100"/>
      <x:c r="M421" s="100"/>
      <x:c r="N421" s="100"/>
    </x:row>
    <x:row r="422">
      <x:c r="A422" s="98" t="str">
        <x:f>IF(B422="","",ROW()-6)</x:f>
      </x:c>
      <x:c r="B422" s="102"/>
      <x:c r="C422" s="98" t="str">
        <x:f>IF(B422="","",TEXT(B422,"yyyy/mm"))</x:f>
      </x:c>
      <x:c r="D422" s="100"/>
      <x:c r="E422" s="100"/>
      <x:c r="F422" s="100"/>
      <x:c r="G422" s="104"/>
      <x:c r="H422" s="100"/>
      <x:c r="I422" s="100"/>
      <x:c r="J422" s="104"/>
      <x:c r="K422" s="100"/>
      <x:c r="L422" s="100"/>
      <x:c r="M422" s="100"/>
      <x:c r="N422" s="100"/>
    </x:row>
    <x:row r="423">
      <x:c r="A423" s="98" t="str">
        <x:f>IF(B423="","",ROW()-6)</x:f>
      </x:c>
      <x:c r="B423" s="102"/>
      <x:c r="C423" s="98" t="str">
        <x:f>IF(B423="","",TEXT(B423,"yyyy/mm"))</x:f>
      </x:c>
      <x:c r="D423" s="100"/>
      <x:c r="E423" s="100"/>
      <x:c r="F423" s="100"/>
      <x:c r="G423" s="104"/>
      <x:c r="H423" s="100"/>
      <x:c r="I423" s="100"/>
      <x:c r="J423" s="104"/>
      <x:c r="K423" s="100"/>
      <x:c r="L423" s="100"/>
      <x:c r="M423" s="100"/>
      <x:c r="N423" s="100"/>
    </x:row>
    <x:row r="424">
      <x:c r="A424" s="98" t="str">
        <x:f>IF(B424="","",ROW()-6)</x:f>
      </x:c>
      <x:c r="B424" s="102"/>
      <x:c r="C424" s="98" t="str">
        <x:f>IF(B424="","",TEXT(B424,"yyyy/mm"))</x:f>
      </x:c>
      <x:c r="D424" s="100"/>
      <x:c r="E424" s="100"/>
      <x:c r="F424" s="100"/>
      <x:c r="G424" s="104"/>
      <x:c r="H424" s="100"/>
      <x:c r="I424" s="100"/>
      <x:c r="J424" s="104"/>
      <x:c r="K424" s="100"/>
      <x:c r="L424" s="100"/>
      <x:c r="M424" s="100"/>
      <x:c r="N424" s="100"/>
    </x:row>
    <x:row r="425">
      <x:c r="A425" s="98" t="str">
        <x:f>IF(B425="","",ROW()-6)</x:f>
      </x:c>
      <x:c r="B425" s="102"/>
      <x:c r="C425" s="98" t="str">
        <x:f>IF(B425="","",TEXT(B425,"yyyy/mm"))</x:f>
      </x:c>
      <x:c r="D425" s="100"/>
      <x:c r="E425" s="100"/>
      <x:c r="F425" s="100"/>
      <x:c r="G425" s="104"/>
      <x:c r="H425" s="100"/>
      <x:c r="I425" s="100"/>
      <x:c r="J425" s="104"/>
      <x:c r="K425" s="100"/>
      <x:c r="L425" s="100"/>
      <x:c r="M425" s="100"/>
      <x:c r="N425" s="100"/>
    </x:row>
    <x:row r="426">
      <x:c r="A426" s="98" t="str">
        <x:f>IF(B426="","",ROW()-6)</x:f>
      </x:c>
      <x:c r="B426" s="102"/>
      <x:c r="C426" s="98" t="str">
        <x:f>IF(B426="","",TEXT(B426,"yyyy/mm"))</x:f>
      </x:c>
      <x:c r="D426" s="100"/>
      <x:c r="E426" s="100"/>
      <x:c r="F426" s="100"/>
      <x:c r="G426" s="104"/>
      <x:c r="H426" s="100"/>
      <x:c r="I426" s="100"/>
      <x:c r="J426" s="104"/>
      <x:c r="K426" s="100"/>
      <x:c r="L426" s="100"/>
      <x:c r="M426" s="100"/>
      <x:c r="N426" s="100"/>
    </x:row>
    <x:row r="427">
      <x:c r="A427" s="98" t="str">
        <x:f>IF(B427="","",ROW()-6)</x:f>
      </x:c>
      <x:c r="B427" s="102"/>
      <x:c r="C427" s="98" t="str">
        <x:f>IF(B427="","",TEXT(B427,"yyyy/mm"))</x:f>
      </x:c>
      <x:c r="D427" s="100"/>
      <x:c r="E427" s="100"/>
      <x:c r="F427" s="100"/>
      <x:c r="G427" s="104"/>
      <x:c r="H427" s="100"/>
      <x:c r="I427" s="100"/>
      <x:c r="J427" s="104"/>
      <x:c r="K427" s="100"/>
      <x:c r="L427" s="100"/>
      <x:c r="M427" s="100"/>
      <x:c r="N427" s="100"/>
    </x:row>
    <x:row r="428">
      <x:c r="A428" s="98" t="str">
        <x:f>IF(B428="","",ROW()-6)</x:f>
      </x:c>
      <x:c r="B428" s="102"/>
      <x:c r="C428" s="98" t="str">
        <x:f>IF(B428="","",TEXT(B428,"yyyy/mm"))</x:f>
      </x:c>
      <x:c r="D428" s="100"/>
      <x:c r="E428" s="100"/>
      <x:c r="F428" s="100"/>
      <x:c r="G428" s="104"/>
      <x:c r="H428" s="100"/>
      <x:c r="I428" s="100"/>
      <x:c r="J428" s="104"/>
      <x:c r="K428" s="100"/>
      <x:c r="L428" s="100"/>
      <x:c r="M428" s="100"/>
      <x:c r="N428" s="100"/>
    </x:row>
    <x:row r="429">
      <x:c r="A429" s="98" t="str">
        <x:f>IF(B429="","",ROW()-6)</x:f>
      </x:c>
      <x:c r="B429" s="102"/>
      <x:c r="C429" s="98" t="str">
        <x:f>IF(B429="","",TEXT(B429,"yyyy/mm"))</x:f>
      </x:c>
      <x:c r="D429" s="100"/>
      <x:c r="E429" s="100"/>
      <x:c r="F429" s="100"/>
      <x:c r="G429" s="104"/>
      <x:c r="H429" s="100"/>
      <x:c r="I429" s="100"/>
      <x:c r="J429" s="104"/>
      <x:c r="K429" s="100"/>
      <x:c r="L429" s="100"/>
      <x:c r="M429" s="100"/>
      <x:c r="N429" s="100"/>
    </x:row>
    <x:row r="430">
      <x:c r="A430" s="98" t="str">
        <x:f>IF(B430="","",ROW()-6)</x:f>
      </x:c>
      <x:c r="B430" s="102"/>
      <x:c r="C430" s="98" t="str">
        <x:f>IF(B430="","",TEXT(B430,"yyyy/mm"))</x:f>
      </x:c>
      <x:c r="D430" s="100"/>
      <x:c r="E430" s="100"/>
      <x:c r="F430" s="100"/>
      <x:c r="G430" s="104"/>
      <x:c r="H430" s="100"/>
      <x:c r="I430" s="100"/>
      <x:c r="J430" s="104"/>
      <x:c r="K430" s="100"/>
      <x:c r="L430" s="100"/>
      <x:c r="M430" s="100"/>
      <x:c r="N430" s="100"/>
    </x:row>
    <x:row r="431">
      <x:c r="A431" s="98" t="str">
        <x:f>IF(B431="","",ROW()-6)</x:f>
      </x:c>
      <x:c r="B431" s="102"/>
      <x:c r="C431" s="98" t="str">
        <x:f>IF(B431="","",TEXT(B431,"yyyy/mm"))</x:f>
      </x:c>
      <x:c r="D431" s="100"/>
      <x:c r="E431" s="100"/>
      <x:c r="F431" s="100"/>
      <x:c r="G431" s="104"/>
      <x:c r="H431" s="100"/>
      <x:c r="I431" s="100"/>
      <x:c r="J431" s="104"/>
      <x:c r="K431" s="100"/>
      <x:c r="L431" s="100"/>
      <x:c r="M431" s="100"/>
      <x:c r="N431" s="100"/>
    </x:row>
    <x:row r="432">
      <x:c r="A432" s="98" t="str">
        <x:f>IF(B432="","",ROW()-6)</x:f>
      </x:c>
      <x:c r="B432" s="102"/>
      <x:c r="C432" s="98" t="str">
        <x:f>IF(B432="","",TEXT(B432,"yyyy/mm"))</x:f>
      </x:c>
      <x:c r="D432" s="100"/>
      <x:c r="E432" s="100"/>
      <x:c r="F432" s="100"/>
      <x:c r="G432" s="104"/>
      <x:c r="H432" s="100"/>
      <x:c r="I432" s="100"/>
      <x:c r="J432" s="104"/>
      <x:c r="K432" s="100"/>
      <x:c r="L432" s="100"/>
      <x:c r="M432" s="100"/>
      <x:c r="N432" s="100"/>
    </x:row>
    <x:row r="433">
      <x:c r="A433" s="98" t="str">
        <x:f>IF(B433="","",ROW()-6)</x:f>
      </x:c>
      <x:c r="B433" s="102"/>
      <x:c r="C433" s="98" t="str">
        <x:f>IF(B433="","",TEXT(B433,"yyyy/mm"))</x:f>
      </x:c>
      <x:c r="D433" s="100"/>
      <x:c r="E433" s="100"/>
      <x:c r="F433" s="100"/>
      <x:c r="G433" s="104"/>
      <x:c r="H433" s="100"/>
      <x:c r="I433" s="100"/>
      <x:c r="J433" s="104"/>
      <x:c r="K433" s="100"/>
      <x:c r="L433" s="100"/>
      <x:c r="M433" s="100"/>
      <x:c r="N433" s="100"/>
    </x:row>
    <x:row r="434">
      <x:c r="A434" s="98" t="str">
        <x:f>IF(B434="","",ROW()-6)</x:f>
      </x:c>
      <x:c r="B434" s="102"/>
      <x:c r="C434" s="98" t="str">
        <x:f>IF(B434="","",TEXT(B434,"yyyy/mm"))</x:f>
      </x:c>
      <x:c r="D434" s="100"/>
      <x:c r="E434" s="100"/>
      <x:c r="F434" s="100"/>
      <x:c r="G434" s="104"/>
      <x:c r="H434" s="100"/>
      <x:c r="I434" s="100"/>
      <x:c r="J434" s="104"/>
      <x:c r="K434" s="100"/>
      <x:c r="L434" s="100"/>
      <x:c r="M434" s="100"/>
      <x:c r="N434" s="100"/>
    </x:row>
    <x:row r="435">
      <x:c r="A435" s="98" t="str">
        <x:f>IF(B435="","",ROW()-6)</x:f>
      </x:c>
      <x:c r="B435" s="102"/>
      <x:c r="C435" s="98" t="str">
        <x:f>IF(B435="","",TEXT(B435,"yyyy/mm"))</x:f>
      </x:c>
      <x:c r="D435" s="100"/>
      <x:c r="E435" s="100"/>
      <x:c r="F435" s="100"/>
      <x:c r="G435" s="104"/>
      <x:c r="H435" s="100"/>
      <x:c r="I435" s="100"/>
      <x:c r="J435" s="104"/>
      <x:c r="K435" s="100"/>
      <x:c r="L435" s="100"/>
      <x:c r="M435" s="100"/>
      <x:c r="N435" s="100"/>
    </x:row>
    <x:row r="436">
      <x:c r="A436" s="98" t="str">
        <x:f>IF(B436="","",ROW()-6)</x:f>
      </x:c>
      <x:c r="B436" s="102"/>
      <x:c r="C436" s="98" t="str">
        <x:f>IF(B436="","",TEXT(B436,"yyyy/mm"))</x:f>
      </x:c>
      <x:c r="D436" s="100"/>
      <x:c r="E436" s="100"/>
      <x:c r="F436" s="100"/>
      <x:c r="G436" s="104"/>
      <x:c r="H436" s="100"/>
      <x:c r="I436" s="100"/>
      <x:c r="J436" s="104"/>
      <x:c r="K436" s="100"/>
      <x:c r="L436" s="100"/>
      <x:c r="M436" s="100"/>
      <x:c r="N436" s="100"/>
    </x:row>
    <x:row r="437">
      <x:c r="A437" s="98" t="str">
        <x:f>IF(B437="","",ROW()-6)</x:f>
      </x:c>
      <x:c r="B437" s="102"/>
      <x:c r="C437" s="98" t="str">
        <x:f>IF(B437="","",TEXT(B437,"yyyy/mm"))</x:f>
      </x:c>
      <x:c r="D437" s="100"/>
      <x:c r="E437" s="100"/>
      <x:c r="F437" s="100"/>
      <x:c r="G437" s="104"/>
      <x:c r="H437" s="100"/>
      <x:c r="I437" s="100"/>
      <x:c r="J437" s="104"/>
      <x:c r="K437" s="100"/>
      <x:c r="L437" s="100"/>
      <x:c r="M437" s="100"/>
      <x:c r="N437" s="100"/>
    </x:row>
    <x:row r="438">
      <x:c r="A438" s="98" t="str">
        <x:f>IF(B438="","",ROW()-6)</x:f>
      </x:c>
      <x:c r="B438" s="102"/>
      <x:c r="C438" s="98" t="str">
        <x:f>IF(B438="","",TEXT(B438,"yyyy/mm"))</x:f>
      </x:c>
      <x:c r="D438" s="100"/>
      <x:c r="E438" s="100"/>
      <x:c r="F438" s="100"/>
      <x:c r="G438" s="104"/>
      <x:c r="H438" s="100"/>
      <x:c r="I438" s="100"/>
      <x:c r="J438" s="104"/>
      <x:c r="K438" s="100"/>
      <x:c r="L438" s="100"/>
      <x:c r="M438" s="100"/>
      <x:c r="N438" s="100"/>
    </x:row>
    <x:row r="439">
      <x:c r="A439" s="98" t="str">
        <x:f>IF(B439="","",ROW()-6)</x:f>
      </x:c>
      <x:c r="B439" s="102"/>
      <x:c r="C439" s="98" t="str">
        <x:f>IF(B439="","",TEXT(B439,"yyyy/mm"))</x:f>
      </x:c>
      <x:c r="D439" s="100"/>
      <x:c r="E439" s="100"/>
      <x:c r="F439" s="100"/>
      <x:c r="G439" s="104"/>
      <x:c r="H439" s="100"/>
      <x:c r="I439" s="100"/>
      <x:c r="J439" s="104"/>
      <x:c r="K439" s="100"/>
      <x:c r="L439" s="100"/>
      <x:c r="M439" s="100"/>
      <x:c r="N439" s="100"/>
    </x:row>
    <x:row r="440">
      <x:c r="A440" s="98" t="str">
        <x:f>IF(B440="","",ROW()-6)</x:f>
      </x:c>
      <x:c r="B440" s="102"/>
      <x:c r="C440" s="98" t="str">
        <x:f>IF(B440="","",TEXT(B440,"yyyy/mm"))</x:f>
      </x:c>
      <x:c r="D440" s="100"/>
      <x:c r="E440" s="100"/>
      <x:c r="F440" s="100"/>
      <x:c r="G440" s="104"/>
      <x:c r="H440" s="100"/>
      <x:c r="I440" s="100"/>
      <x:c r="J440" s="104"/>
      <x:c r="K440" s="100"/>
      <x:c r="L440" s="100"/>
      <x:c r="M440" s="100"/>
      <x:c r="N440" s="100"/>
    </x:row>
    <x:row r="441">
      <x:c r="A441" s="98" t="str">
        <x:f>IF(B441="","",ROW()-6)</x:f>
      </x:c>
      <x:c r="B441" s="102"/>
      <x:c r="C441" s="98" t="str">
        <x:f>IF(B441="","",TEXT(B441,"yyyy/mm"))</x:f>
      </x:c>
      <x:c r="D441" s="100"/>
      <x:c r="E441" s="100"/>
      <x:c r="F441" s="100"/>
      <x:c r="G441" s="104"/>
      <x:c r="H441" s="100"/>
      <x:c r="I441" s="100"/>
      <x:c r="J441" s="104"/>
      <x:c r="K441" s="100"/>
      <x:c r="L441" s="100"/>
      <x:c r="M441" s="100"/>
      <x:c r="N441" s="100"/>
    </x:row>
    <x:row r="442">
      <x:c r="A442" s="98" t="str">
        <x:f>IF(B442="","",ROW()-6)</x:f>
      </x:c>
      <x:c r="B442" s="102"/>
      <x:c r="C442" s="98" t="str">
        <x:f>IF(B442="","",TEXT(B442,"yyyy/mm"))</x:f>
      </x:c>
      <x:c r="D442" s="100"/>
      <x:c r="E442" s="100"/>
      <x:c r="F442" s="100"/>
      <x:c r="G442" s="104"/>
      <x:c r="H442" s="100"/>
      <x:c r="I442" s="100"/>
      <x:c r="J442" s="104"/>
      <x:c r="K442" s="100"/>
      <x:c r="L442" s="100"/>
      <x:c r="M442" s="100"/>
      <x:c r="N442" s="100"/>
    </x:row>
    <x:row r="443">
      <x:c r="A443" s="98" t="str">
        <x:f>IF(B443="","",ROW()-6)</x:f>
      </x:c>
      <x:c r="B443" s="102"/>
      <x:c r="C443" s="98" t="str">
        <x:f>IF(B443="","",TEXT(B443,"yyyy/mm"))</x:f>
      </x:c>
      <x:c r="D443" s="100"/>
      <x:c r="E443" s="100"/>
      <x:c r="F443" s="100"/>
      <x:c r="G443" s="104"/>
      <x:c r="H443" s="100"/>
      <x:c r="I443" s="100"/>
      <x:c r="J443" s="104"/>
      <x:c r="K443" s="100"/>
      <x:c r="L443" s="100"/>
      <x:c r="M443" s="100"/>
      <x:c r="N443" s="100"/>
    </x:row>
    <x:row r="444">
      <x:c r="A444" s="98" t="str">
        <x:f>IF(B444="","",ROW()-6)</x:f>
      </x:c>
      <x:c r="B444" s="102"/>
      <x:c r="C444" s="98" t="str">
        <x:f>IF(B444="","",TEXT(B444,"yyyy/mm"))</x:f>
      </x:c>
      <x:c r="D444" s="100"/>
      <x:c r="E444" s="100"/>
      <x:c r="F444" s="100"/>
      <x:c r="G444" s="104"/>
      <x:c r="H444" s="100"/>
      <x:c r="I444" s="100"/>
      <x:c r="J444" s="104"/>
      <x:c r="K444" s="100"/>
      <x:c r="L444" s="100"/>
      <x:c r="M444" s="100"/>
      <x:c r="N444" s="100"/>
    </x:row>
    <x:row r="445">
      <x:c r="A445" s="98" t="str">
        <x:f>IF(B445="","",ROW()-6)</x:f>
      </x:c>
      <x:c r="B445" s="102"/>
      <x:c r="C445" s="98" t="str">
        <x:f>IF(B445="","",TEXT(B445,"yyyy/mm"))</x:f>
      </x:c>
      <x:c r="D445" s="100"/>
      <x:c r="E445" s="100"/>
      <x:c r="F445" s="100"/>
      <x:c r="G445" s="104"/>
      <x:c r="H445" s="100"/>
      <x:c r="I445" s="100"/>
      <x:c r="J445" s="104"/>
      <x:c r="K445" s="100"/>
      <x:c r="L445" s="100"/>
      <x:c r="M445" s="100"/>
      <x:c r="N445" s="100"/>
    </x:row>
    <x:row r="446">
      <x:c r="A446" s="98" t="str">
        <x:f>IF(B446="","",ROW()-6)</x:f>
      </x:c>
      <x:c r="B446" s="102"/>
      <x:c r="C446" s="98" t="str">
        <x:f>IF(B446="","",TEXT(B446,"yyyy/mm"))</x:f>
      </x:c>
      <x:c r="D446" s="100"/>
      <x:c r="E446" s="100"/>
      <x:c r="F446" s="100"/>
      <x:c r="G446" s="104"/>
      <x:c r="H446" s="100"/>
      <x:c r="I446" s="100"/>
      <x:c r="J446" s="104"/>
      <x:c r="K446" s="100"/>
      <x:c r="L446" s="100"/>
      <x:c r="M446" s="100"/>
      <x:c r="N446" s="100"/>
    </x:row>
    <x:row r="447">
      <x:c r="A447" s="98" t="str">
        <x:f>IF(B447="","",ROW()-6)</x:f>
      </x:c>
      <x:c r="B447" s="102"/>
      <x:c r="C447" s="98" t="str">
        <x:f>IF(B447="","",TEXT(B447,"yyyy/mm"))</x:f>
      </x:c>
      <x:c r="D447" s="100"/>
      <x:c r="E447" s="100"/>
      <x:c r="F447" s="100"/>
      <x:c r="G447" s="104"/>
      <x:c r="H447" s="100"/>
      <x:c r="I447" s="100"/>
      <x:c r="J447" s="104"/>
      <x:c r="K447" s="100"/>
      <x:c r="L447" s="100"/>
      <x:c r="M447" s="100"/>
      <x:c r="N447" s="100"/>
    </x:row>
    <x:row r="448">
      <x:c r="A448" s="98" t="str">
        <x:f>IF(B448="","",ROW()-6)</x:f>
      </x:c>
      <x:c r="B448" s="102"/>
      <x:c r="C448" s="98" t="str">
        <x:f>IF(B448="","",TEXT(B448,"yyyy/mm"))</x:f>
      </x:c>
      <x:c r="D448" s="100"/>
      <x:c r="E448" s="100"/>
      <x:c r="F448" s="100"/>
      <x:c r="G448" s="104"/>
      <x:c r="H448" s="100"/>
      <x:c r="I448" s="100"/>
      <x:c r="J448" s="104"/>
      <x:c r="K448" s="100"/>
      <x:c r="L448" s="100"/>
      <x:c r="M448" s="100"/>
      <x:c r="N448" s="100"/>
    </x:row>
    <x:row r="449">
      <x:c r="A449" s="98" t="str">
        <x:f>IF(B449="","",ROW()-6)</x:f>
      </x:c>
      <x:c r="B449" s="102"/>
      <x:c r="C449" s="98" t="str">
        <x:f>IF(B449="","",TEXT(B449,"yyyy/mm"))</x:f>
      </x:c>
      <x:c r="D449" s="100"/>
      <x:c r="E449" s="100"/>
      <x:c r="F449" s="100"/>
      <x:c r="G449" s="104"/>
      <x:c r="H449" s="100"/>
      <x:c r="I449" s="100"/>
      <x:c r="J449" s="104"/>
      <x:c r="K449" s="100"/>
      <x:c r="L449" s="100"/>
      <x:c r="M449" s="100"/>
      <x:c r="N449" s="100"/>
    </x:row>
    <x:row r="450">
      <x:c r="A450" s="98" t="str">
        <x:f>IF(B450="","",ROW()-6)</x:f>
      </x:c>
      <x:c r="B450" s="102"/>
      <x:c r="C450" s="98" t="str">
        <x:f>IF(B450="","",TEXT(B450,"yyyy/mm"))</x:f>
      </x:c>
      <x:c r="D450" s="100"/>
      <x:c r="E450" s="100"/>
      <x:c r="F450" s="100"/>
      <x:c r="G450" s="104"/>
      <x:c r="H450" s="100"/>
      <x:c r="I450" s="100"/>
      <x:c r="J450" s="104"/>
      <x:c r="K450" s="100"/>
      <x:c r="L450" s="100"/>
      <x:c r="M450" s="100"/>
      <x:c r="N450" s="100"/>
    </x:row>
    <x:row r="451">
      <x:c r="A451" s="98" t="str">
        <x:f>IF(B451="","",ROW()-6)</x:f>
      </x:c>
      <x:c r="B451" s="102"/>
      <x:c r="C451" s="98" t="str">
        <x:f>IF(B451="","",TEXT(B451,"yyyy/mm"))</x:f>
      </x:c>
      <x:c r="D451" s="100"/>
      <x:c r="E451" s="100"/>
      <x:c r="F451" s="100"/>
      <x:c r="G451" s="104"/>
      <x:c r="H451" s="100"/>
      <x:c r="I451" s="100"/>
      <x:c r="J451" s="104"/>
      <x:c r="K451" s="100"/>
      <x:c r="L451" s="100"/>
      <x:c r="M451" s="100"/>
      <x:c r="N451" s="100"/>
    </x:row>
    <x:row r="452">
      <x:c r="A452" s="98" t="str">
        <x:f>IF(B452="","",ROW()-6)</x:f>
      </x:c>
      <x:c r="B452" s="102"/>
      <x:c r="C452" s="98" t="str">
        <x:f>IF(B452="","",TEXT(B452,"yyyy/mm"))</x:f>
      </x:c>
      <x:c r="D452" s="100"/>
      <x:c r="E452" s="100"/>
      <x:c r="F452" s="100"/>
      <x:c r="G452" s="104"/>
      <x:c r="H452" s="100"/>
      <x:c r="I452" s="100"/>
      <x:c r="J452" s="104"/>
      <x:c r="K452" s="100"/>
      <x:c r="L452" s="100"/>
      <x:c r="M452" s="100"/>
      <x:c r="N452" s="100"/>
    </x:row>
    <x:row r="453">
      <x:c r="A453" s="98" t="str">
        <x:f>IF(B453="","",ROW()-6)</x:f>
      </x:c>
      <x:c r="B453" s="102"/>
      <x:c r="C453" s="98" t="str">
        <x:f>IF(B453="","",TEXT(B453,"yyyy/mm"))</x:f>
      </x:c>
      <x:c r="D453" s="100"/>
      <x:c r="E453" s="100"/>
      <x:c r="F453" s="100"/>
      <x:c r="G453" s="104"/>
      <x:c r="H453" s="100"/>
      <x:c r="I453" s="100"/>
      <x:c r="J453" s="104"/>
      <x:c r="K453" s="100"/>
      <x:c r="L453" s="100"/>
      <x:c r="M453" s="100"/>
      <x:c r="N453" s="100"/>
    </x:row>
    <x:row r="454">
      <x:c r="A454" s="98" t="str">
        <x:f>IF(B454="","",ROW()-6)</x:f>
      </x:c>
      <x:c r="B454" s="102"/>
      <x:c r="C454" s="98" t="str">
        <x:f>IF(B454="","",TEXT(B454,"yyyy/mm"))</x:f>
      </x:c>
      <x:c r="D454" s="100"/>
      <x:c r="E454" s="100"/>
      <x:c r="F454" s="100"/>
      <x:c r="G454" s="104"/>
      <x:c r="H454" s="100"/>
      <x:c r="I454" s="100"/>
      <x:c r="J454" s="104"/>
      <x:c r="K454" s="100"/>
      <x:c r="L454" s="100"/>
      <x:c r="M454" s="100"/>
      <x:c r="N454" s="100"/>
    </x:row>
    <x:row r="455">
      <x:c r="A455" s="98" t="str">
        <x:f>IF(B455="","",ROW()-6)</x:f>
      </x:c>
      <x:c r="B455" s="102"/>
      <x:c r="C455" s="98" t="str">
        <x:f>IF(B455="","",TEXT(B455,"yyyy/mm"))</x:f>
      </x:c>
      <x:c r="D455" s="100"/>
      <x:c r="E455" s="100"/>
      <x:c r="F455" s="100"/>
      <x:c r="G455" s="104"/>
      <x:c r="H455" s="100"/>
      <x:c r="I455" s="100"/>
      <x:c r="J455" s="104"/>
      <x:c r="K455" s="100"/>
      <x:c r="L455" s="100"/>
      <x:c r="M455" s="100"/>
      <x:c r="N455" s="100"/>
    </x:row>
    <x:row r="456">
      <x:c r="A456" s="98" t="str">
        <x:f>IF(B456="","",ROW()-6)</x:f>
      </x:c>
      <x:c r="B456" s="102"/>
      <x:c r="C456" s="98" t="str">
        <x:f>IF(B456="","",TEXT(B456,"yyyy/mm"))</x:f>
      </x:c>
      <x:c r="D456" s="100"/>
      <x:c r="E456" s="100"/>
      <x:c r="F456" s="100"/>
      <x:c r="G456" s="104"/>
      <x:c r="H456" s="100"/>
      <x:c r="I456" s="100"/>
      <x:c r="J456" s="104"/>
      <x:c r="K456" s="100"/>
      <x:c r="L456" s="100"/>
      <x:c r="M456" s="100"/>
      <x:c r="N456" s="100"/>
    </x:row>
    <x:row r="457">
      <x:c r="A457" s="98" t="str">
        <x:f>IF(B457="","",ROW()-6)</x:f>
      </x:c>
      <x:c r="B457" s="102"/>
      <x:c r="C457" s="98" t="str">
        <x:f>IF(B457="","",TEXT(B457,"yyyy/mm"))</x:f>
      </x:c>
      <x:c r="D457" s="100"/>
      <x:c r="E457" s="100"/>
      <x:c r="F457" s="100"/>
      <x:c r="G457" s="104"/>
      <x:c r="H457" s="100"/>
      <x:c r="I457" s="100"/>
      <x:c r="J457" s="104"/>
      <x:c r="K457" s="100"/>
      <x:c r="L457" s="100"/>
      <x:c r="M457" s="100"/>
      <x:c r="N457" s="100"/>
    </x:row>
    <x:row r="458">
      <x:c r="A458" s="98" t="str">
        <x:f>IF(B458="","",ROW()-6)</x:f>
      </x:c>
      <x:c r="B458" s="102"/>
      <x:c r="C458" s="98" t="str">
        <x:f>IF(B458="","",TEXT(B458,"yyyy/mm"))</x:f>
      </x:c>
      <x:c r="D458" s="100"/>
      <x:c r="E458" s="100"/>
      <x:c r="F458" s="100"/>
      <x:c r="G458" s="104"/>
      <x:c r="H458" s="100"/>
      <x:c r="I458" s="100"/>
      <x:c r="J458" s="104"/>
      <x:c r="K458" s="100"/>
      <x:c r="L458" s="100"/>
      <x:c r="M458" s="100"/>
      <x:c r="N458" s="100"/>
    </x:row>
    <x:row r="459">
      <x:c r="A459" s="98" t="str">
        <x:f>IF(B459="","",ROW()-6)</x:f>
      </x:c>
      <x:c r="B459" s="102"/>
      <x:c r="C459" s="98" t="str">
        <x:f>IF(B459="","",TEXT(B459,"yyyy/mm"))</x:f>
      </x:c>
      <x:c r="D459" s="100"/>
      <x:c r="E459" s="100"/>
      <x:c r="F459" s="100"/>
      <x:c r="G459" s="104"/>
      <x:c r="H459" s="100"/>
      <x:c r="I459" s="100"/>
      <x:c r="J459" s="104"/>
      <x:c r="K459" s="100"/>
      <x:c r="L459" s="100"/>
      <x:c r="M459" s="100"/>
      <x:c r="N459" s="100"/>
    </x:row>
    <x:row r="460">
      <x:c r="A460" s="98" t="str">
        <x:f>IF(B460="","",ROW()-6)</x:f>
      </x:c>
      <x:c r="B460" s="102"/>
      <x:c r="C460" s="98" t="str">
        <x:f>IF(B460="","",TEXT(B460,"yyyy/mm"))</x:f>
      </x:c>
      <x:c r="D460" s="100"/>
      <x:c r="E460" s="100"/>
      <x:c r="F460" s="100"/>
      <x:c r="G460" s="104"/>
      <x:c r="H460" s="100"/>
      <x:c r="I460" s="100"/>
      <x:c r="J460" s="104"/>
      <x:c r="K460" s="100"/>
      <x:c r="L460" s="100"/>
      <x:c r="M460" s="100"/>
      <x:c r="N460" s="100"/>
    </x:row>
    <x:row r="461">
      <x:c r="A461" s="98" t="str">
        <x:f>IF(B461="","",ROW()-6)</x:f>
      </x:c>
      <x:c r="B461" s="102"/>
      <x:c r="C461" s="98" t="str">
        <x:f>IF(B461="","",TEXT(B461,"yyyy/mm"))</x:f>
      </x:c>
      <x:c r="D461" s="100"/>
      <x:c r="E461" s="100"/>
      <x:c r="F461" s="100"/>
      <x:c r="G461" s="104"/>
      <x:c r="H461" s="100"/>
      <x:c r="I461" s="100"/>
      <x:c r="J461" s="104"/>
      <x:c r="K461" s="100"/>
      <x:c r="L461" s="100"/>
      <x:c r="M461" s="100"/>
      <x:c r="N461" s="100"/>
    </x:row>
    <x:row r="462">
      <x:c r="A462" s="98" t="str">
        <x:f>IF(B462="","",ROW()-6)</x:f>
      </x:c>
      <x:c r="B462" s="102"/>
      <x:c r="C462" s="98" t="str">
        <x:f>IF(B462="","",TEXT(B462,"yyyy/mm"))</x:f>
      </x:c>
      <x:c r="D462" s="100"/>
      <x:c r="E462" s="100"/>
      <x:c r="F462" s="100"/>
      <x:c r="G462" s="104"/>
      <x:c r="H462" s="100"/>
      <x:c r="I462" s="100"/>
      <x:c r="J462" s="104"/>
      <x:c r="K462" s="100"/>
      <x:c r="L462" s="100"/>
      <x:c r="M462" s="100"/>
      <x:c r="N462" s="100"/>
    </x:row>
    <x:row r="463">
      <x:c r="A463" s="98" t="str">
        <x:f>IF(B463="","",ROW()-6)</x:f>
      </x:c>
      <x:c r="B463" s="102"/>
      <x:c r="C463" s="98" t="str">
        <x:f>IF(B463="","",TEXT(B463,"yyyy/mm"))</x:f>
      </x:c>
      <x:c r="D463" s="100"/>
      <x:c r="E463" s="100"/>
      <x:c r="F463" s="100"/>
      <x:c r="G463" s="104"/>
      <x:c r="H463" s="100"/>
      <x:c r="I463" s="100"/>
      <x:c r="J463" s="104"/>
      <x:c r="K463" s="100"/>
      <x:c r="L463" s="100"/>
      <x:c r="M463" s="100"/>
      <x:c r="N463" s="100"/>
    </x:row>
    <x:row r="464">
      <x:c r="A464" s="98" t="str">
        <x:f>IF(B464="","",ROW()-6)</x:f>
      </x:c>
      <x:c r="B464" s="102"/>
      <x:c r="C464" s="98" t="str">
        <x:f>IF(B464="","",TEXT(B464,"yyyy/mm"))</x:f>
      </x:c>
      <x:c r="D464" s="100"/>
      <x:c r="E464" s="100"/>
      <x:c r="F464" s="100"/>
      <x:c r="G464" s="104"/>
      <x:c r="H464" s="100"/>
      <x:c r="I464" s="100"/>
      <x:c r="J464" s="104"/>
      <x:c r="K464" s="100"/>
      <x:c r="L464" s="100"/>
      <x:c r="M464" s="100"/>
      <x:c r="N464" s="100"/>
    </x:row>
    <x:row r="465">
      <x:c r="A465" s="98" t="str">
        <x:f>IF(B465="","",ROW()-6)</x:f>
      </x:c>
      <x:c r="B465" s="102"/>
      <x:c r="C465" s="98" t="str">
        <x:f>IF(B465="","",TEXT(B465,"yyyy/mm"))</x:f>
      </x:c>
      <x:c r="D465" s="100"/>
      <x:c r="E465" s="100"/>
      <x:c r="F465" s="100"/>
      <x:c r="G465" s="104"/>
      <x:c r="H465" s="100"/>
      <x:c r="I465" s="100"/>
      <x:c r="J465" s="104"/>
      <x:c r="K465" s="100"/>
      <x:c r="L465" s="100"/>
      <x:c r="M465" s="100"/>
      <x:c r="N465" s="100"/>
    </x:row>
    <x:row r="466">
      <x:c r="A466" s="98" t="str">
        <x:f>IF(B466="","",ROW()-6)</x:f>
      </x:c>
      <x:c r="B466" s="102"/>
      <x:c r="C466" s="98" t="str">
        <x:f>IF(B466="","",TEXT(B466,"yyyy/mm"))</x:f>
      </x:c>
      <x:c r="D466" s="100"/>
      <x:c r="E466" s="100"/>
      <x:c r="F466" s="100"/>
      <x:c r="G466" s="104"/>
      <x:c r="H466" s="100"/>
      <x:c r="I466" s="100"/>
      <x:c r="J466" s="104"/>
      <x:c r="K466" s="100"/>
      <x:c r="L466" s="100"/>
      <x:c r="M466" s="100"/>
      <x:c r="N466" s="100"/>
    </x:row>
    <x:row r="467">
      <x:c r="A467" s="98" t="str">
        <x:f>IF(B467="","",ROW()-6)</x:f>
      </x:c>
      <x:c r="B467" s="102"/>
      <x:c r="C467" s="98" t="str">
        <x:f>IF(B467="","",TEXT(B467,"yyyy/mm"))</x:f>
      </x:c>
      <x:c r="D467" s="100"/>
      <x:c r="E467" s="100"/>
      <x:c r="F467" s="100"/>
      <x:c r="G467" s="104"/>
      <x:c r="H467" s="100"/>
      <x:c r="I467" s="100"/>
      <x:c r="J467" s="104"/>
      <x:c r="K467" s="100"/>
      <x:c r="L467" s="100"/>
      <x:c r="M467" s="100"/>
      <x:c r="N467" s="100"/>
    </x:row>
    <x:row r="468">
      <x:c r="A468" s="98" t="str">
        <x:f>IF(B468="","",ROW()-6)</x:f>
      </x:c>
      <x:c r="B468" s="102"/>
      <x:c r="C468" s="98" t="str">
        <x:f>IF(B468="","",TEXT(B468,"yyyy/mm"))</x:f>
      </x:c>
      <x:c r="D468" s="100"/>
      <x:c r="E468" s="100"/>
      <x:c r="F468" s="100"/>
      <x:c r="G468" s="104"/>
      <x:c r="H468" s="100"/>
      <x:c r="I468" s="100"/>
      <x:c r="J468" s="104"/>
      <x:c r="K468" s="100"/>
      <x:c r="L468" s="100"/>
      <x:c r="M468" s="100"/>
      <x:c r="N468" s="100"/>
    </x:row>
    <x:row r="469">
      <x:c r="A469" s="98" t="str">
        <x:f>IF(B469="","",ROW()-6)</x:f>
      </x:c>
      <x:c r="B469" s="102"/>
      <x:c r="C469" s="98" t="str">
        <x:f>IF(B469="","",TEXT(B469,"yyyy/mm"))</x:f>
      </x:c>
      <x:c r="D469" s="100"/>
      <x:c r="E469" s="100"/>
      <x:c r="F469" s="100"/>
      <x:c r="G469" s="104"/>
      <x:c r="H469" s="100"/>
      <x:c r="I469" s="100"/>
      <x:c r="J469" s="104"/>
      <x:c r="K469" s="100"/>
      <x:c r="L469" s="100"/>
      <x:c r="M469" s="100"/>
      <x:c r="N469" s="100"/>
    </x:row>
    <x:row r="470">
      <x:c r="A470" s="98" t="str">
        <x:f>IF(B470="","",ROW()-6)</x:f>
      </x:c>
      <x:c r="B470" s="102"/>
      <x:c r="C470" s="98" t="str">
        <x:f>IF(B470="","",TEXT(B470,"yyyy/mm"))</x:f>
      </x:c>
      <x:c r="D470" s="100"/>
      <x:c r="E470" s="100"/>
      <x:c r="F470" s="100"/>
      <x:c r="G470" s="104"/>
      <x:c r="H470" s="100"/>
      <x:c r="I470" s="100"/>
      <x:c r="J470" s="104"/>
      <x:c r="K470" s="100"/>
      <x:c r="L470" s="100"/>
      <x:c r="M470" s="100"/>
      <x:c r="N470" s="100"/>
    </x:row>
    <x:row r="471">
      <x:c r="A471" s="98" t="str">
        <x:f>IF(B471="","",ROW()-6)</x:f>
      </x:c>
      <x:c r="B471" s="102"/>
      <x:c r="C471" s="98" t="str">
        <x:f>IF(B471="","",TEXT(B471,"yyyy/mm"))</x:f>
      </x:c>
      <x:c r="D471" s="100"/>
      <x:c r="E471" s="100"/>
      <x:c r="F471" s="100"/>
      <x:c r="G471" s="104"/>
      <x:c r="H471" s="100"/>
      <x:c r="I471" s="100"/>
      <x:c r="J471" s="104"/>
      <x:c r="K471" s="100"/>
      <x:c r="L471" s="100"/>
      <x:c r="M471" s="100"/>
      <x:c r="N471" s="100"/>
    </x:row>
    <x:row r="472">
      <x:c r="A472" s="98" t="str">
        <x:f>IF(B472="","",ROW()-6)</x:f>
      </x:c>
      <x:c r="B472" s="102"/>
      <x:c r="C472" s="98" t="str">
        <x:f>IF(B472="","",TEXT(B472,"yyyy/mm"))</x:f>
      </x:c>
      <x:c r="D472" s="100"/>
      <x:c r="E472" s="100"/>
      <x:c r="F472" s="100"/>
      <x:c r="G472" s="104"/>
      <x:c r="H472" s="100"/>
      <x:c r="I472" s="100"/>
      <x:c r="J472" s="104"/>
      <x:c r="K472" s="100"/>
      <x:c r="L472" s="100"/>
      <x:c r="M472" s="100"/>
      <x:c r="N472" s="100"/>
    </x:row>
    <x:row r="473">
      <x:c r="A473" s="98" t="str">
        <x:f>IF(B473="","",ROW()-6)</x:f>
      </x:c>
      <x:c r="B473" s="102"/>
      <x:c r="C473" s="98" t="str">
        <x:f>IF(B473="","",TEXT(B473,"yyyy/mm"))</x:f>
      </x:c>
      <x:c r="D473" s="100"/>
      <x:c r="E473" s="100"/>
      <x:c r="F473" s="100"/>
      <x:c r="G473" s="104"/>
      <x:c r="H473" s="100"/>
      <x:c r="I473" s="100"/>
      <x:c r="J473" s="104"/>
      <x:c r="K473" s="100"/>
      <x:c r="L473" s="100"/>
      <x:c r="M473" s="100"/>
      <x:c r="N473" s="100"/>
    </x:row>
    <x:row r="474">
      <x:c r="A474" s="98" t="str">
        <x:f>IF(B474="","",ROW()-6)</x:f>
      </x:c>
      <x:c r="B474" s="102"/>
      <x:c r="C474" s="98" t="str">
        <x:f>IF(B474="","",TEXT(B474,"yyyy/mm"))</x:f>
      </x:c>
      <x:c r="D474" s="100"/>
      <x:c r="E474" s="100"/>
      <x:c r="F474" s="100"/>
      <x:c r="G474" s="104"/>
      <x:c r="H474" s="100"/>
      <x:c r="I474" s="100"/>
      <x:c r="J474" s="104"/>
      <x:c r="K474" s="100"/>
      <x:c r="L474" s="100"/>
      <x:c r="M474" s="100"/>
      <x:c r="N474" s="100"/>
    </x:row>
    <x:row r="475">
      <x:c r="A475" s="98" t="str">
        <x:f>IF(B475="","",ROW()-6)</x:f>
      </x:c>
      <x:c r="B475" s="102"/>
      <x:c r="C475" s="98" t="str">
        <x:f>IF(B475="","",TEXT(B475,"yyyy/mm"))</x:f>
      </x:c>
      <x:c r="D475" s="100"/>
      <x:c r="E475" s="100"/>
      <x:c r="F475" s="100"/>
      <x:c r="G475" s="104"/>
      <x:c r="H475" s="100"/>
      <x:c r="I475" s="100"/>
      <x:c r="J475" s="104"/>
      <x:c r="K475" s="100"/>
      <x:c r="L475" s="100"/>
      <x:c r="M475" s="100"/>
      <x:c r="N475" s="100"/>
    </x:row>
    <x:row r="476">
      <x:c r="A476" s="98" t="str">
        <x:f>IF(B476="","",ROW()-6)</x:f>
      </x:c>
      <x:c r="B476" s="102"/>
      <x:c r="C476" s="98" t="str">
        <x:f>IF(B476="","",TEXT(B476,"yyyy/mm"))</x:f>
      </x:c>
      <x:c r="D476" s="100"/>
      <x:c r="E476" s="100"/>
      <x:c r="F476" s="100"/>
      <x:c r="G476" s="104"/>
      <x:c r="H476" s="100"/>
      <x:c r="I476" s="100"/>
      <x:c r="J476" s="104"/>
      <x:c r="K476" s="100"/>
      <x:c r="L476" s="100"/>
      <x:c r="M476" s="100"/>
      <x:c r="N476" s="100"/>
    </x:row>
    <x:row r="477">
      <x:c r="A477" s="98" t="str">
        <x:f>IF(B477="","",ROW()-6)</x:f>
      </x:c>
      <x:c r="B477" s="102"/>
      <x:c r="C477" s="98" t="str">
        <x:f>IF(B477="","",TEXT(B477,"yyyy/mm"))</x:f>
      </x:c>
      <x:c r="D477" s="100"/>
      <x:c r="E477" s="100"/>
      <x:c r="F477" s="100"/>
      <x:c r="G477" s="104"/>
      <x:c r="H477" s="100"/>
      <x:c r="I477" s="100"/>
      <x:c r="J477" s="104"/>
      <x:c r="K477" s="100"/>
      <x:c r="L477" s="100"/>
      <x:c r="M477" s="100"/>
      <x:c r="N477" s="100"/>
    </x:row>
    <x:row r="478">
      <x:c r="A478" s="98" t="str">
        <x:f>IF(B478="","",ROW()-6)</x:f>
      </x:c>
      <x:c r="B478" s="102"/>
      <x:c r="C478" s="98" t="str">
        <x:f>IF(B478="","",TEXT(B478,"yyyy/mm"))</x:f>
      </x:c>
      <x:c r="D478" s="100"/>
      <x:c r="E478" s="100"/>
      <x:c r="F478" s="100"/>
      <x:c r="G478" s="104"/>
      <x:c r="H478" s="100"/>
      <x:c r="I478" s="100"/>
      <x:c r="J478" s="104"/>
      <x:c r="K478" s="100"/>
      <x:c r="L478" s="100"/>
      <x:c r="M478" s="100"/>
      <x:c r="N478" s="100"/>
    </x:row>
    <x:row r="479">
      <x:c r="A479" s="98" t="str">
        <x:f>IF(B479="","",ROW()-6)</x:f>
      </x:c>
      <x:c r="B479" s="102"/>
      <x:c r="C479" s="98" t="str">
        <x:f>IF(B479="","",TEXT(B479,"yyyy/mm"))</x:f>
      </x:c>
      <x:c r="D479" s="100"/>
      <x:c r="E479" s="100"/>
      <x:c r="F479" s="100"/>
      <x:c r="G479" s="104"/>
      <x:c r="H479" s="100"/>
      <x:c r="I479" s="100"/>
      <x:c r="J479" s="104"/>
      <x:c r="K479" s="100"/>
      <x:c r="L479" s="100"/>
      <x:c r="M479" s="100"/>
      <x:c r="N479" s="100"/>
    </x:row>
    <x:row r="480">
      <x:c r="A480" s="98" t="str">
        <x:f>IF(B480="","",ROW()-6)</x:f>
      </x:c>
      <x:c r="B480" s="102"/>
      <x:c r="C480" s="98" t="str">
        <x:f>IF(B480="","",TEXT(B480,"yyyy/mm"))</x:f>
      </x:c>
      <x:c r="D480" s="100"/>
      <x:c r="E480" s="100"/>
      <x:c r="F480" s="100"/>
      <x:c r="G480" s="104"/>
      <x:c r="H480" s="100"/>
      <x:c r="I480" s="100"/>
      <x:c r="J480" s="104"/>
      <x:c r="K480" s="100"/>
      <x:c r="L480" s="100"/>
      <x:c r="M480" s="100"/>
      <x:c r="N480" s="100"/>
    </x:row>
    <x:row r="481">
      <x:c r="A481" s="98" t="str">
        <x:f>IF(B481="","",ROW()-6)</x:f>
      </x:c>
      <x:c r="B481" s="102"/>
      <x:c r="C481" s="98" t="str">
        <x:f>IF(B481="","",TEXT(B481,"yyyy/mm"))</x:f>
      </x:c>
      <x:c r="D481" s="100"/>
      <x:c r="E481" s="100"/>
      <x:c r="F481" s="100"/>
      <x:c r="G481" s="104"/>
      <x:c r="H481" s="100"/>
      <x:c r="I481" s="100"/>
      <x:c r="J481" s="104"/>
      <x:c r="K481" s="100"/>
      <x:c r="L481" s="100"/>
      <x:c r="M481" s="100"/>
      <x:c r="N481" s="100"/>
    </x:row>
    <x:row r="482">
      <x:c r="A482" s="98" t="str">
        <x:f>IF(B482="","",ROW()-6)</x:f>
      </x:c>
      <x:c r="B482" s="102"/>
      <x:c r="C482" s="98" t="str">
        <x:f>IF(B482="","",TEXT(B482,"yyyy/mm"))</x:f>
      </x:c>
      <x:c r="D482" s="100"/>
      <x:c r="E482" s="100"/>
      <x:c r="F482" s="100"/>
      <x:c r="G482" s="104"/>
      <x:c r="H482" s="100"/>
      <x:c r="I482" s="100"/>
      <x:c r="J482" s="104"/>
      <x:c r="K482" s="100"/>
      <x:c r="L482" s="100"/>
      <x:c r="M482" s="100"/>
      <x:c r="N482" s="100"/>
    </x:row>
    <x:row r="483">
      <x:c r="A483" s="98" t="str">
        <x:f>IF(B483="","",ROW()-6)</x:f>
      </x:c>
      <x:c r="B483" s="102"/>
      <x:c r="C483" s="98" t="str">
        <x:f>IF(B483="","",TEXT(B483,"yyyy/mm"))</x:f>
      </x:c>
      <x:c r="D483" s="100"/>
      <x:c r="E483" s="100"/>
      <x:c r="F483" s="100"/>
      <x:c r="G483" s="104"/>
      <x:c r="H483" s="100"/>
      <x:c r="I483" s="100"/>
      <x:c r="J483" s="104"/>
      <x:c r="K483" s="100"/>
      <x:c r="L483" s="100"/>
      <x:c r="M483" s="100"/>
      <x:c r="N483" s="100"/>
    </x:row>
    <x:row r="484">
      <x:c r="A484" s="98" t="str">
        <x:f>IF(B484="","",ROW()-6)</x:f>
      </x:c>
      <x:c r="B484" s="102"/>
      <x:c r="C484" s="98" t="str">
        <x:f>IF(B484="","",TEXT(B484,"yyyy/mm"))</x:f>
      </x:c>
      <x:c r="D484" s="100"/>
      <x:c r="E484" s="100"/>
      <x:c r="F484" s="100"/>
      <x:c r="G484" s="104"/>
      <x:c r="H484" s="100"/>
      <x:c r="I484" s="100"/>
      <x:c r="J484" s="104"/>
      <x:c r="K484" s="100"/>
      <x:c r="L484" s="100"/>
      <x:c r="M484" s="100"/>
      <x:c r="N484" s="100"/>
    </x:row>
    <x:row r="485">
      <x:c r="A485" s="98" t="str">
        <x:f>IF(B485="","",ROW()-6)</x:f>
      </x:c>
      <x:c r="B485" s="102"/>
      <x:c r="C485" s="98" t="str">
        <x:f>IF(B485="","",TEXT(B485,"yyyy/mm"))</x:f>
      </x:c>
      <x:c r="D485" s="100"/>
      <x:c r="E485" s="100"/>
      <x:c r="F485" s="100"/>
      <x:c r="G485" s="104"/>
      <x:c r="H485" s="100"/>
      <x:c r="I485" s="100"/>
      <x:c r="J485" s="104"/>
      <x:c r="K485" s="100"/>
      <x:c r="L485" s="100"/>
      <x:c r="M485" s="100"/>
      <x:c r="N485" s="100"/>
    </x:row>
    <x:row r="486">
      <x:c r="A486" s="98" t="str">
        <x:f>IF(B486="","",ROW()-6)</x:f>
      </x:c>
      <x:c r="B486" s="102"/>
      <x:c r="C486" s="98" t="str">
        <x:f>IF(B486="","",TEXT(B486,"yyyy/mm"))</x:f>
      </x:c>
      <x:c r="D486" s="100"/>
      <x:c r="E486" s="100"/>
      <x:c r="F486" s="100"/>
      <x:c r="G486" s="104"/>
      <x:c r="H486" s="100"/>
      <x:c r="I486" s="100"/>
      <x:c r="J486" s="104"/>
      <x:c r="K486" s="100"/>
      <x:c r="L486" s="100"/>
      <x:c r="M486" s="100"/>
      <x:c r="N486" s="100"/>
    </x:row>
    <x:row r="487">
      <x:c r="A487" s="98" t="str">
        <x:f>IF(B487="","",ROW()-6)</x:f>
      </x:c>
      <x:c r="B487" s="102"/>
      <x:c r="C487" s="98" t="str">
        <x:f>IF(B487="","",TEXT(B487,"yyyy/mm"))</x:f>
      </x:c>
      <x:c r="D487" s="100"/>
      <x:c r="E487" s="100"/>
      <x:c r="F487" s="100"/>
      <x:c r="G487" s="104"/>
      <x:c r="H487" s="100"/>
      <x:c r="I487" s="100"/>
      <x:c r="J487" s="104"/>
      <x:c r="K487" s="100"/>
      <x:c r="L487" s="100"/>
      <x:c r="M487" s="100"/>
      <x:c r="N487" s="100"/>
    </x:row>
    <x:row r="488">
      <x:c r="A488" s="98" t="str">
        <x:f>IF(B488="","",ROW()-6)</x:f>
      </x:c>
      <x:c r="B488" s="102"/>
      <x:c r="C488" s="98" t="str">
        <x:f>IF(B488="","",TEXT(B488,"yyyy/mm"))</x:f>
      </x:c>
      <x:c r="D488" s="100"/>
      <x:c r="E488" s="100"/>
      <x:c r="F488" s="100"/>
      <x:c r="G488" s="104"/>
      <x:c r="H488" s="100"/>
      <x:c r="I488" s="100"/>
      <x:c r="J488" s="104"/>
      <x:c r="K488" s="100"/>
      <x:c r="L488" s="100"/>
      <x:c r="M488" s="100"/>
      <x:c r="N488" s="100"/>
    </x:row>
    <x:row r="489">
      <x:c r="A489" s="98" t="str">
        <x:f>IF(B489="","",ROW()-6)</x:f>
      </x:c>
      <x:c r="B489" s="102"/>
      <x:c r="C489" s="98" t="str">
        <x:f>IF(B489="","",TEXT(B489,"yyyy/mm"))</x:f>
      </x:c>
      <x:c r="D489" s="100"/>
      <x:c r="E489" s="100"/>
      <x:c r="F489" s="100"/>
      <x:c r="G489" s="104"/>
      <x:c r="H489" s="100"/>
      <x:c r="I489" s="100"/>
      <x:c r="J489" s="104"/>
      <x:c r="K489" s="100"/>
      <x:c r="L489" s="100"/>
      <x:c r="M489" s="100"/>
      <x:c r="N489" s="100"/>
    </x:row>
    <x:row r="490">
      <x:c r="A490" s="98" t="str">
        <x:f>IF(B490="","",ROW()-6)</x:f>
      </x:c>
      <x:c r="B490" s="102"/>
      <x:c r="C490" s="98" t="str">
        <x:f>IF(B490="","",TEXT(B490,"yyyy/mm"))</x:f>
      </x:c>
      <x:c r="D490" s="100"/>
      <x:c r="E490" s="100"/>
      <x:c r="F490" s="100"/>
      <x:c r="G490" s="104"/>
      <x:c r="H490" s="100"/>
      <x:c r="I490" s="100"/>
      <x:c r="J490" s="104"/>
      <x:c r="K490" s="100"/>
      <x:c r="L490" s="100"/>
      <x:c r="M490" s="100"/>
      <x:c r="N490" s="100"/>
    </x:row>
    <x:row r="491">
      <x:c r="A491" s="98" t="str">
        <x:f>IF(B491="","",ROW()-6)</x:f>
      </x:c>
      <x:c r="B491" s="102"/>
      <x:c r="C491" s="98" t="str">
        <x:f>IF(B491="","",TEXT(B491,"yyyy/mm"))</x:f>
      </x:c>
      <x:c r="D491" s="100"/>
      <x:c r="E491" s="100"/>
      <x:c r="F491" s="100"/>
      <x:c r="G491" s="104"/>
      <x:c r="H491" s="100"/>
      <x:c r="I491" s="100"/>
      <x:c r="J491" s="104"/>
      <x:c r="K491" s="100"/>
      <x:c r="L491" s="100"/>
      <x:c r="M491" s="100"/>
      <x:c r="N491" s="100"/>
    </x:row>
    <x:row r="492">
      <x:c r="A492" s="98" t="str">
        <x:f>IF(B492="","",ROW()-6)</x:f>
      </x:c>
      <x:c r="B492" s="102"/>
      <x:c r="C492" s="98" t="str">
        <x:f>IF(B492="","",TEXT(B492,"yyyy/mm"))</x:f>
      </x:c>
      <x:c r="D492" s="100"/>
      <x:c r="E492" s="100"/>
      <x:c r="F492" s="100"/>
      <x:c r="G492" s="104"/>
      <x:c r="H492" s="100"/>
      <x:c r="I492" s="100"/>
      <x:c r="J492" s="104"/>
      <x:c r="K492" s="100"/>
      <x:c r="L492" s="100"/>
      <x:c r="M492" s="100"/>
      <x:c r="N492" s="100"/>
    </x:row>
    <x:row r="493">
      <x:c r="A493" s="98" t="str">
        <x:f>IF(B493="","",ROW()-6)</x:f>
      </x:c>
      <x:c r="B493" s="102"/>
      <x:c r="C493" s="98" t="str">
        <x:f>IF(B493="","",TEXT(B493,"yyyy/mm"))</x:f>
      </x:c>
      <x:c r="D493" s="100"/>
      <x:c r="E493" s="100"/>
      <x:c r="F493" s="100"/>
      <x:c r="G493" s="104"/>
      <x:c r="H493" s="100"/>
      <x:c r="I493" s="100"/>
      <x:c r="J493" s="104"/>
      <x:c r="K493" s="100"/>
      <x:c r="L493" s="100"/>
      <x:c r="M493" s="100"/>
      <x:c r="N493" s="100"/>
    </x:row>
    <x:row r="494">
      <x:c r="A494" s="98" t="str">
        <x:f>IF(B494="","",ROW()-6)</x:f>
      </x:c>
      <x:c r="B494" s="102"/>
      <x:c r="C494" s="98" t="str">
        <x:f>IF(B494="","",TEXT(B494,"yyyy/mm"))</x:f>
      </x:c>
      <x:c r="D494" s="100"/>
      <x:c r="E494" s="100"/>
      <x:c r="F494" s="100"/>
      <x:c r="G494" s="104"/>
      <x:c r="H494" s="100"/>
      <x:c r="I494" s="100"/>
      <x:c r="J494" s="104"/>
      <x:c r="K494" s="100"/>
      <x:c r="L494" s="100"/>
      <x:c r="M494" s="100"/>
      <x:c r="N494" s="100"/>
    </x:row>
    <x:row r="495">
      <x:c r="A495" s="98" t="str">
        <x:f>IF(B495="","",ROW()-6)</x:f>
      </x:c>
      <x:c r="B495" s="102"/>
      <x:c r="C495" s="98" t="str">
        <x:f>IF(B495="","",TEXT(B495,"yyyy/mm"))</x:f>
      </x:c>
      <x:c r="D495" s="100"/>
      <x:c r="E495" s="100"/>
      <x:c r="F495" s="100"/>
      <x:c r="G495" s="104"/>
      <x:c r="H495" s="100"/>
      <x:c r="I495" s="100"/>
      <x:c r="J495" s="104"/>
      <x:c r="K495" s="100"/>
      <x:c r="L495" s="100"/>
      <x:c r="M495" s="100"/>
      <x:c r="N495" s="100"/>
    </x:row>
    <x:row r="496">
      <x:c r="A496" s="98" t="str">
        <x:f>IF(B496="","",ROW()-6)</x:f>
      </x:c>
      <x:c r="B496" s="102"/>
      <x:c r="C496" s="98" t="str">
        <x:f>IF(B496="","",TEXT(B496,"yyyy/mm"))</x:f>
      </x:c>
      <x:c r="D496" s="100"/>
      <x:c r="E496" s="100"/>
      <x:c r="F496" s="100"/>
      <x:c r="G496" s="104"/>
      <x:c r="H496" s="100"/>
      <x:c r="I496" s="100"/>
      <x:c r="J496" s="104"/>
      <x:c r="K496" s="100"/>
      <x:c r="L496" s="100"/>
      <x:c r="M496" s="100"/>
      <x:c r="N496" s="100"/>
    </x:row>
    <x:row r="497">
      <x:c r="A497" s="98" t="str">
        <x:f>IF(B497="","",ROW()-6)</x:f>
      </x:c>
      <x:c r="B497" s="102"/>
      <x:c r="C497" s="98" t="str">
        <x:f>IF(B497="","",TEXT(B497,"yyyy/mm"))</x:f>
      </x:c>
      <x:c r="D497" s="100"/>
      <x:c r="E497" s="100"/>
      <x:c r="F497" s="100"/>
      <x:c r="G497" s="104"/>
      <x:c r="H497" s="100"/>
      <x:c r="I497" s="100"/>
      <x:c r="J497" s="104"/>
      <x:c r="K497" s="100"/>
      <x:c r="L497" s="100"/>
      <x:c r="M497" s="100"/>
      <x:c r="N497" s="100"/>
    </x:row>
    <x:row r="498">
      <x:c r="A498" s="98" t="str">
        <x:f>IF(B498="","",ROW()-6)</x:f>
      </x:c>
      <x:c r="B498" s="102"/>
      <x:c r="C498" s="98" t="str">
        <x:f>IF(B498="","",TEXT(B498,"yyyy/mm"))</x:f>
      </x:c>
      <x:c r="D498" s="100"/>
      <x:c r="E498" s="100"/>
      <x:c r="F498" s="100"/>
      <x:c r="G498" s="104"/>
      <x:c r="H498" s="100"/>
      <x:c r="I498" s="100"/>
      <x:c r="J498" s="104"/>
      <x:c r="K498" s="100"/>
      <x:c r="L498" s="100"/>
      <x:c r="M498" s="100"/>
      <x:c r="N498" s="100"/>
    </x:row>
    <x:row r="499">
      <x:c r="A499" s="98" t="str">
        <x:f>IF(B499="","",ROW()-6)</x:f>
      </x:c>
      <x:c r="B499" s="102"/>
      <x:c r="C499" s="98" t="str">
        <x:f>IF(B499="","",TEXT(B499,"yyyy/mm"))</x:f>
      </x:c>
      <x:c r="D499" s="100"/>
      <x:c r="E499" s="100"/>
      <x:c r="F499" s="100"/>
      <x:c r="G499" s="104"/>
      <x:c r="H499" s="100"/>
      <x:c r="I499" s="100"/>
      <x:c r="J499" s="104"/>
      <x:c r="K499" s="100"/>
      <x:c r="L499" s="100"/>
      <x:c r="M499" s="100"/>
      <x:c r="N499" s="100"/>
    </x:row>
    <x:row r="500">
      <x:c r="A500" s="98" t="str">
        <x:f>IF(B500="","",ROW()-6)</x:f>
      </x:c>
      <x:c r="B500" s="102"/>
      <x:c r="C500" s="98" t="str">
        <x:f>IF(B500="","",TEXT(B500,"yyyy/mm"))</x:f>
      </x:c>
      <x:c r="D500" s="100"/>
      <x:c r="E500" s="100"/>
      <x:c r="F500" s="100"/>
      <x:c r="G500" s="104"/>
      <x:c r="H500" s="100"/>
      <x:c r="I500" s="100"/>
      <x:c r="J500" s="104"/>
      <x:c r="K500" s="100"/>
      <x:c r="L500" s="100"/>
      <x:c r="M500" s="100"/>
      <x:c r="N500" s="100"/>
    </x:row>
    <x:row r="501">
      <x:c r="A501" s="98" t="str">
        <x:f>IF(B501="","",ROW()-6)</x:f>
      </x:c>
      <x:c r="B501" s="102"/>
      <x:c r="C501" s="98" t="str">
        <x:f>IF(B501="","",TEXT(B501,"yyyy/mm"))</x:f>
      </x:c>
      <x:c r="D501" s="100"/>
      <x:c r="E501" s="100"/>
      <x:c r="F501" s="100"/>
      <x:c r="G501" s="104"/>
      <x:c r="H501" s="100"/>
      <x:c r="I501" s="100"/>
      <x:c r="J501" s="104"/>
      <x:c r="K501" s="100"/>
      <x:c r="L501" s="100"/>
      <x:c r="M501" s="100"/>
      <x:c r="N501" s="100"/>
    </x:row>
    <x:row r="502">
      <x:c r="A502" s="98" t="str">
        <x:f>IF(B502="","",ROW()-6)</x:f>
      </x:c>
      <x:c r="B502" s="102"/>
      <x:c r="C502" s="98" t="str">
        <x:f>IF(B502="","",TEXT(B502,"yyyy/mm"))</x:f>
      </x:c>
      <x:c r="D502" s="100"/>
      <x:c r="E502" s="100"/>
      <x:c r="F502" s="100"/>
      <x:c r="G502" s="104"/>
      <x:c r="H502" s="100"/>
      <x:c r="I502" s="100"/>
      <x:c r="J502" s="104"/>
      <x:c r="K502" s="100"/>
      <x:c r="L502" s="100"/>
      <x:c r="M502" s="100"/>
      <x:c r="N502" s="100"/>
    </x:row>
    <x:row r="503">
      <x:c r="A503" s="98" t="str">
        <x:f>IF(B503="","",ROW()-6)</x:f>
      </x:c>
      <x:c r="B503" s="102"/>
      <x:c r="C503" s="98" t="str">
        <x:f>IF(B503="","",TEXT(B503,"yyyy/mm"))</x:f>
      </x:c>
      <x:c r="D503" s="100"/>
      <x:c r="E503" s="100"/>
      <x:c r="F503" s="100"/>
      <x:c r="G503" s="104"/>
      <x:c r="H503" s="100"/>
      <x:c r="I503" s="100"/>
      <x:c r="J503" s="104"/>
      <x:c r="K503" s="100"/>
      <x:c r="L503" s="100"/>
      <x:c r="M503" s="100"/>
      <x:c r="N503" s="100"/>
    </x:row>
    <x:row r="504">
      <x:c r="A504" s="98" t="str">
        <x:f>IF(B504="","",ROW()-6)</x:f>
      </x:c>
      <x:c r="B504" s="102"/>
      <x:c r="C504" s="98" t="str">
        <x:f>IF(B504="","",TEXT(B504,"yyyy/mm"))</x:f>
      </x:c>
      <x:c r="D504" s="100"/>
      <x:c r="E504" s="100"/>
      <x:c r="F504" s="100"/>
      <x:c r="G504" s="104"/>
      <x:c r="H504" s="100"/>
      <x:c r="I504" s="100"/>
      <x:c r="J504" s="104"/>
      <x:c r="K504" s="100"/>
      <x:c r="L504" s="100"/>
      <x:c r="M504" s="100"/>
      <x:c r="N504" s="100"/>
    </x:row>
    <x:row r="505">
      <x:c r="A505" s="98" t="str">
        <x:f>IF(B505="","",ROW()-6)</x:f>
      </x:c>
      <x:c r="B505" s="102"/>
      <x:c r="C505" s="98" t="str">
        <x:f>IF(B505="","",TEXT(B505,"yyyy/mm"))</x:f>
      </x:c>
      <x:c r="D505" s="100"/>
      <x:c r="E505" s="100"/>
      <x:c r="F505" s="100"/>
      <x:c r="G505" s="104"/>
      <x:c r="H505" s="100"/>
      <x:c r="I505" s="100"/>
      <x:c r="J505" s="104"/>
      <x:c r="K505" s="100"/>
      <x:c r="L505" s="100"/>
      <x:c r="M505" s="100"/>
      <x:c r="N505" s="100"/>
    </x:row>
    <x:row r="506">
      <x:c r="A506" s="98" t="str">
        <x:f>IF(B506="","",ROW()-6)</x:f>
      </x:c>
      <x:c r="B506" s="102"/>
      <x:c r="C506" s="98" t="str">
        <x:f>IF(B506="","",TEXT(B506,"yyyy/mm"))</x:f>
      </x:c>
      <x:c r="D506" s="100"/>
      <x:c r="E506" s="100"/>
      <x:c r="F506" s="100"/>
      <x:c r="G506" s="104"/>
      <x:c r="H506" s="100"/>
      <x:c r="I506" s="100"/>
      <x:c r="J506" s="104"/>
      <x:c r="K506" s="100"/>
      <x:c r="L506" s="100"/>
      <x:c r="M506" s="100"/>
      <x:c r="N506" s="100"/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月次試算表｜仕訳帳から自動集計</x:v>
      </x:c>
    </x:row>
    <x:row r="3">
      <x:c r="A3" s="51" t="str">
        <x:v>対象月</x:v>
      </x:c>
      <x:c r="B3" s="51" t="str">
        <x:v>2031/03</x:v>
      </x:c>
    </x:row>
    <x:row r="5">
      <x:c r="A5" s="32" t="str">
        <x:v>科目コード</x:v>
      </x:c>
      <x:c r="B5" s="32" t="str">
        <x:v>区分</x:v>
      </x:c>
      <x:c r="C5" s="32" t="str">
        <x:v>勘定科目</x:v>
      </x:c>
      <x:c r="D5" s="32" t="str">
        <x:v>借方合計</x:v>
      </x:c>
      <x:c r="E5" s="32" t="str">
        <x:v>貸方合計</x:v>
      </x:c>
      <x:c r="F5" s="32" t="str">
        <x:v>純額</x:v>
      </x:c>
      <x:c r="G5" s="32" t="str">
        <x:v>PL/BS分類</x:v>
      </x:c>
      <x:c r="H5" s="32" t="str">
        <x:v>備考</x:v>
      </x:c>
    </x:row>
    <x:row r="6">
      <x:c r="A6" t="str">
        <x:v>1000</x:v>
      </x:c>
      <x:c r="B6" t="str">
        <x:v>BS資産</x:v>
      </x:c>
      <x:c r="C6" t="str">
        <x:v>現預金</x:v>
      </x:c>
      <x:c r="D6" s="62" t="n">
        <x:f>SUMIFS('04_仕訳帳'!$G:$G,'04_仕訳帳'!$C:$C,$B$3,'04_仕訳帳'!$E:$E,C6)</x:f>
        <x:v>0</x:v>
      </x:c>
      <x:c r="E6" s="62" t="n">
        <x:f>SUMIFS('04_仕訳帳'!$J:$J,'04_仕訳帳'!$C:$C,$B$3,'04_仕訳帳'!$H:$H,C6)</x:f>
        <x:v>0</x:v>
      </x:c>
      <x:c r="F6" s="62" t="n">
        <x:f>D6-E6</x:f>
        <x:v>0</x:v>
      </x:c>
      <x:c r="G6" t="str">
        <x:v>現預金</x:v>
      </x:c>
      <x:c r="H6" t="str"/>
    </x:row>
    <x:row r="7">
      <x:c r="A7" t="str">
        <x:v>1100</x:v>
      </x:c>
      <x:c r="B7" t="str">
        <x:v>BS資産</x:v>
      </x:c>
      <x:c r="C7" t="str">
        <x:v>売掛金</x:v>
      </x:c>
      <x:c r="D7" s="62" t="n">
        <x:f>SUMIFS('04_仕訳帳'!$G:$G,'04_仕訳帳'!$C:$C,$B$3,'04_仕訳帳'!$E:$E,C7)</x:f>
        <x:v>0</x:v>
      </x:c>
      <x:c r="E7" s="62" t="n">
        <x:f>SUMIFS('04_仕訳帳'!$J:$J,'04_仕訳帳'!$C:$C,$B$3,'04_仕訳帳'!$H:$H,C7)</x:f>
        <x:v>0</x:v>
      </x:c>
      <x:c r="F7" s="62" t="n">
        <x:f>D7-E7</x:f>
        <x:v>0</x:v>
      </x:c>
      <x:c r="G7" t="str">
        <x:v>売掛金</x:v>
      </x:c>
      <x:c r="H7" t="str"/>
    </x:row>
    <x:row r="8">
      <x:c r="A8" t="str">
        <x:v>1200</x:v>
      </x:c>
      <x:c r="B8" t="str">
        <x:v>BS資産</x:v>
      </x:c>
      <x:c r="C8" t="str">
        <x:v>その他流動資産</x:v>
      </x:c>
      <x:c r="D8" s="62" t="n">
        <x:f>SUMIFS('04_仕訳帳'!$G:$G,'04_仕訳帳'!$C:$C,$B$3,'04_仕訳帳'!$E:$E,C8)</x:f>
        <x:v>0</x:v>
      </x:c>
      <x:c r="E8" s="62" t="n">
        <x:f>SUMIFS('04_仕訳帳'!$J:$J,'04_仕訳帳'!$C:$C,$B$3,'04_仕訳帳'!$H:$H,C8)</x:f>
        <x:v>0</x:v>
      </x:c>
      <x:c r="F8" s="62" t="n">
        <x:f>D8-E8</x:f>
        <x:v>0</x:v>
      </x:c>
      <x:c r="G8" t="str">
        <x:v>その他流動資産</x:v>
      </x:c>
      <x:c r="H8" t="str"/>
    </x:row>
    <x:row r="9">
      <x:c r="A9" t="str">
        <x:v>1500</x:v>
      </x:c>
      <x:c r="B9" t="str">
        <x:v>BS資産</x:v>
      </x:c>
      <x:c r="C9" t="str">
        <x:v>有形固定資産</x:v>
      </x:c>
      <x:c r="D9" s="62" t="n">
        <x:f>SUMIFS('04_仕訳帳'!$G:$G,'04_仕訳帳'!$C:$C,$B$3,'04_仕訳帳'!$E:$E,C9)</x:f>
        <x:v>0</x:v>
      </x:c>
      <x:c r="E9" s="62" t="n">
        <x:f>SUMIFS('04_仕訳帳'!$J:$J,'04_仕訳帳'!$C:$C,$B$3,'04_仕訳帳'!$H:$H,C9)</x:f>
        <x:v>0</x:v>
      </x:c>
      <x:c r="F9" s="62" t="n">
        <x:f>D9-E9</x:f>
        <x:v>0</x:v>
      </x:c>
      <x:c r="G9" t="str">
        <x:v>固定資産</x:v>
      </x:c>
      <x:c r="H9" t="str"/>
    </x:row>
    <x:row r="10">
      <x:c r="A10" t="str">
        <x:v>2000</x:v>
      </x:c>
      <x:c r="B10" t="str">
        <x:v>BS負債</x:v>
      </x:c>
      <x:c r="C10" t="str">
        <x:v>買掛金・未払金</x:v>
      </x:c>
      <x:c r="D10" s="62" t="n">
        <x:f>SUMIFS('04_仕訳帳'!$G:$G,'04_仕訳帳'!$C:$C,$B$3,'04_仕訳帳'!$E:$E,C10)</x:f>
        <x:v>0</x:v>
      </x:c>
      <x:c r="E10" s="62" t="n">
        <x:f>SUMIFS('04_仕訳帳'!$J:$J,'04_仕訳帳'!$C:$C,$B$3,'04_仕訳帳'!$H:$H,C10)</x:f>
        <x:v>0</x:v>
      </x:c>
      <x:c r="F10" s="62" t="n">
        <x:f>D10-E10</x:f>
        <x:v>0</x:v>
      </x:c>
      <x:c r="G10" t="str">
        <x:v>未払金</x:v>
      </x:c>
      <x:c r="H10" t="str"/>
    </x:row>
    <x:row r="11">
      <x:c r="A11" t="str">
        <x:v>2200</x:v>
      </x:c>
      <x:c r="B11" t="str">
        <x:v>BS負債</x:v>
      </x:c>
      <x:c r="C11" t="str">
        <x:v>借入金</x:v>
      </x:c>
      <x:c r="D11" s="62" t="n">
        <x:f>SUMIFS('04_仕訳帳'!$G:$G,'04_仕訳帳'!$C:$C,$B$3,'04_仕訳帳'!$E:$E,C11)</x:f>
        <x:v>0</x:v>
      </x:c>
      <x:c r="E11" s="62" t="n">
        <x:f>SUMIFS('04_仕訳帳'!$J:$J,'04_仕訳帳'!$C:$C,$B$3,'04_仕訳帳'!$H:$H,C11)</x:f>
        <x:v>0</x:v>
      </x:c>
      <x:c r="F11" s="62" t="n">
        <x:f>D11-E11</x:f>
        <x:v>0</x:v>
      </x:c>
      <x:c r="G11" t="str">
        <x:v>借入</x:v>
      </x:c>
      <x:c r="H11" t="str"/>
    </x:row>
    <x:row r="12">
      <x:c r="A12" t="str">
        <x:v>2500</x:v>
      </x:c>
      <x:c r="B12" t="str">
        <x:v>BS負債</x:v>
      </x:c>
      <x:c r="C12" t="str">
        <x:v>その他負債</x:v>
      </x:c>
      <x:c r="D12" s="62" t="n">
        <x:f>SUMIFS('04_仕訳帳'!$G:$G,'04_仕訳帳'!$C:$C,$B$3,'04_仕訳帳'!$E:$E,C12)</x:f>
        <x:v>0</x:v>
      </x:c>
      <x:c r="E12" s="62" t="n">
        <x:f>SUMIFS('04_仕訳帳'!$J:$J,'04_仕訳帳'!$C:$C,$B$3,'04_仕訳帳'!$H:$H,C12)</x:f>
        <x:v>0</x:v>
      </x:c>
      <x:c r="F12" s="62" t="n">
        <x:f>D12-E12</x:f>
        <x:v>0</x:v>
      </x:c>
      <x:c r="G12" t="str">
        <x:v>その他負債</x:v>
      </x:c>
      <x:c r="H12" t="str"/>
    </x:row>
    <x:row r="13">
      <x:c r="A13" t="str">
        <x:v>3000</x:v>
      </x:c>
      <x:c r="B13" t="str">
        <x:v>純資産</x:v>
      </x:c>
      <x:c r="C13" t="str">
        <x:v>資本金・資本剰余金</x:v>
      </x:c>
      <x:c r="D13" s="62" t="n">
        <x:f>SUMIFS('04_仕訳帳'!$G:$G,'04_仕訳帳'!$C:$C,$B$3,'04_仕訳帳'!$E:$E,C13)</x:f>
        <x:v>0</x:v>
      </x:c>
      <x:c r="E13" s="62" t="n">
        <x:f>SUMIFS('04_仕訳帳'!$J:$J,'04_仕訳帳'!$C:$C,$B$3,'04_仕訳帳'!$H:$H,C13)</x:f>
        <x:v>0</x:v>
      </x:c>
      <x:c r="F13" s="62" t="n">
        <x:f>D13-E13</x:f>
        <x:v>0</x:v>
      </x:c>
      <x:c r="G13" t="str">
        <x:v>純資産</x:v>
      </x:c>
      <x:c r="H13" t="str"/>
    </x:row>
    <x:row r="14">
      <x:c r="A14" t="str">
        <x:v>3100</x:v>
      </x:c>
      <x:c r="B14" t="str">
        <x:v>純資産</x:v>
      </x:c>
      <x:c r="C14" t="str">
        <x:v>利益剰余金</x:v>
      </x:c>
      <x:c r="D14" s="62" t="n">
        <x:f>SUMIFS('04_仕訳帳'!$G:$G,'04_仕訳帳'!$C:$C,$B$3,'04_仕訳帳'!$E:$E,C14)</x:f>
        <x:v>0</x:v>
      </x:c>
      <x:c r="E14" s="62" t="n">
        <x:f>SUMIFS('04_仕訳帳'!$J:$J,'04_仕訳帳'!$C:$C,$B$3,'04_仕訳帳'!$H:$H,C14)</x:f>
        <x:v>0</x:v>
      </x:c>
      <x:c r="F14" s="62" t="n">
        <x:f>D14-E14</x:f>
        <x:v>0</x:v>
      </x:c>
      <x:c r="G14" t="str">
        <x:v>純資産</x:v>
      </x:c>
      <x:c r="H14" t="str"/>
    </x:row>
    <x:row r="15">
      <x:c r="A15" t="str">
        <x:v>4000</x:v>
      </x:c>
      <x:c r="B15" t="str">
        <x:v>売上</x:v>
      </x:c>
      <x:c r="C15" t="str">
        <x:v>宿泊売上</x:v>
      </x:c>
      <x:c r="D15" s="62" t="n">
        <x:f>SUMIFS('04_仕訳帳'!$G:$G,'04_仕訳帳'!$C:$C,$B$3,'04_仕訳帳'!$E:$E,C15)</x:f>
        <x:v>0</x:v>
      </x:c>
      <x:c r="E15" s="62" t="n">
        <x:f>SUMIFS('04_仕訳帳'!$J:$J,'04_仕訳帳'!$C:$C,$B$3,'04_仕訳帳'!$H:$H,C15)</x:f>
        <x:v>0</x:v>
      </x:c>
      <x:c r="F15" s="62" t="n">
        <x:f>D15-E15</x:f>
        <x:v>0</x:v>
      </x:c>
      <x:c r="G15" t="str">
        <x:v>売上高</x:v>
      </x:c>
      <x:c r="H15" t="str"/>
    </x:row>
    <x:row r="16">
      <x:c r="A16" t="str">
        <x:v>4100</x:v>
      </x:c>
      <x:c r="B16" t="str">
        <x:v>売上</x:v>
      </x:c>
      <x:c r="C16" t="str">
        <x:v>その他売上</x:v>
      </x:c>
      <x:c r="D16" s="62" t="n">
        <x:f>SUMIFS('04_仕訳帳'!$G:$G,'04_仕訳帳'!$C:$C,$B$3,'04_仕訳帳'!$E:$E,C16)</x:f>
        <x:v>0</x:v>
      </x:c>
      <x:c r="E16" s="62" t="n">
        <x:f>SUMIFS('04_仕訳帳'!$J:$J,'04_仕訳帳'!$C:$C,$B$3,'04_仕訳帳'!$H:$H,C16)</x:f>
        <x:v>0</x:v>
      </x:c>
      <x:c r="F16" s="62" t="n">
        <x:f>D16-E16</x:f>
        <x:v>0</x:v>
      </x:c>
      <x:c r="G16" t="str">
        <x:v>売上高</x:v>
      </x:c>
      <x:c r="H16" t="str"/>
    </x:row>
    <x:row r="17">
      <x:c r="A17" t="str">
        <x:v>5100</x:v>
      </x:c>
      <x:c r="B17" t="str">
        <x:v>費用</x:v>
      </x:c>
      <x:c r="C17" t="str">
        <x:v>OTA手数料</x:v>
      </x:c>
      <x:c r="D17" s="62" t="n">
        <x:f>SUMIFS('04_仕訳帳'!$G:$G,'04_仕訳帳'!$C:$C,$B$3,'04_仕訳帳'!$E:$E,C17)</x:f>
        <x:v>0</x:v>
      </x:c>
      <x:c r="E17" s="62" t="n">
        <x:f>SUMIFS('04_仕訳帳'!$J:$J,'04_仕訳帳'!$C:$C,$B$3,'04_仕訳帳'!$H:$H,C17)</x:f>
        <x:v>0</x:v>
      </x:c>
      <x:c r="F17" s="62" t="n">
        <x:f>D17-E17</x:f>
        <x:v>0</x:v>
      </x:c>
      <x:c r="G17" t="str">
        <x:v>変動費</x:v>
      </x:c>
      <x:c r="H17" t="str"/>
    </x:row>
    <x:row r="18">
      <x:c r="A18" t="str">
        <x:v>5200</x:v>
      </x:c>
      <x:c r="B18" t="str">
        <x:v>費用</x:v>
      </x:c>
      <x:c r="C18" t="str">
        <x:v>リネン費</x:v>
      </x:c>
      <x:c r="D18" s="62" t="n">
        <x:f>SUMIFS('04_仕訳帳'!$G:$G,'04_仕訳帳'!$C:$C,$B$3,'04_仕訳帳'!$E:$E,C18)</x:f>
        <x:v>0</x:v>
      </x:c>
      <x:c r="E18" s="62" t="n">
        <x:f>SUMIFS('04_仕訳帳'!$J:$J,'04_仕訳帳'!$C:$C,$B$3,'04_仕訳帳'!$H:$H,C18)</x:f>
        <x:v>0</x:v>
      </x:c>
      <x:c r="F18" s="62" t="n">
        <x:f>D18-E18</x:f>
        <x:v>0</x:v>
      </x:c>
      <x:c r="G18" t="str">
        <x:v>変動費</x:v>
      </x:c>
      <x:c r="H18" t="str"/>
    </x:row>
    <x:row r="19">
      <x:c r="A19" t="str">
        <x:v>5300</x:v>
      </x:c>
      <x:c r="B19" t="str">
        <x:v>費用</x:v>
      </x:c>
      <x:c r="C19" t="str">
        <x:v>水道光熱費</x:v>
      </x:c>
      <x:c r="D19" s="62" t="n">
        <x:f>SUMIFS('04_仕訳帳'!$G:$G,'04_仕訳帳'!$C:$C,$B$3,'04_仕訳帳'!$E:$E,C19)</x:f>
        <x:v>0</x:v>
      </x:c>
      <x:c r="E19" s="62" t="n">
        <x:f>SUMIFS('04_仕訳帳'!$J:$J,'04_仕訳帳'!$C:$C,$B$3,'04_仕訳帳'!$H:$H,C19)</x:f>
        <x:v>0</x:v>
      </x:c>
      <x:c r="F19" s="62" t="n">
        <x:f>D19-E19</x:f>
        <x:v>0</x:v>
      </x:c>
      <x:c r="G19" t="str">
        <x:v>変動費</x:v>
      </x:c>
      <x:c r="H19" t="str"/>
    </x:row>
    <x:row r="20">
      <x:c r="A20" t="str">
        <x:v>5400</x:v>
      </x:c>
      <x:c r="B20" t="str">
        <x:v>費用</x:v>
      </x:c>
      <x:c r="C20" t="str">
        <x:v>消耗品費</x:v>
      </x:c>
      <x:c r="D20" s="62" t="n">
        <x:f>SUMIFS('04_仕訳帳'!$G:$G,'04_仕訳帳'!$C:$C,$B$3,'04_仕訳帳'!$E:$E,C20)</x:f>
        <x:v>0</x:v>
      </x:c>
      <x:c r="E20" s="62" t="n">
        <x:f>SUMIFS('04_仕訳帳'!$J:$J,'04_仕訳帳'!$C:$C,$B$3,'04_仕訳帳'!$H:$H,C20)</x:f>
        <x:v>0</x:v>
      </x:c>
      <x:c r="F20" s="62" t="n">
        <x:f>D20-E20</x:f>
        <x:v>0</x:v>
      </x:c>
      <x:c r="G20" t="str">
        <x:v>変動費</x:v>
      </x:c>
      <x:c r="H20" t="str"/>
    </x:row>
    <x:row r="21">
      <x:c r="A21" t="str">
        <x:v>5500</x:v>
      </x:c>
      <x:c r="B21" t="str">
        <x:v>費用</x:v>
      </x:c>
      <x:c r="C21" t="str">
        <x:v>修繕費</x:v>
      </x:c>
      <x:c r="D21" s="62" t="n">
        <x:f>SUMIFS('04_仕訳帳'!$G:$G,'04_仕訳帳'!$C:$C,$B$3,'04_仕訳帳'!$E:$E,C21)</x:f>
        <x:v>0</x:v>
      </x:c>
      <x:c r="E21" s="62" t="n">
        <x:f>SUMIFS('04_仕訳帳'!$J:$J,'04_仕訳帳'!$C:$C,$B$3,'04_仕訳帳'!$H:$H,C21)</x:f>
        <x:v>0</x:v>
      </x:c>
      <x:c r="F21" s="62" t="n">
        <x:f>D21-E21</x:f>
        <x:v>0</x:v>
      </x:c>
      <x:c r="G21" t="str">
        <x:v>変動費</x:v>
      </x:c>
      <x:c r="H21" t="str"/>
    </x:row>
    <x:row r="22">
      <x:c r="A22" t="str">
        <x:v>5600</x:v>
      </x:c>
      <x:c r="B22" t="str">
        <x:v>費用</x:v>
      </x:c>
      <x:c r="C22" t="str">
        <x:v>人件費</x:v>
      </x:c>
      <x:c r="D22" s="62" t="n">
        <x:f>SUMIFS('04_仕訳帳'!$G:$G,'04_仕訳帳'!$C:$C,$B$3,'04_仕訳帳'!$E:$E,C22)</x:f>
        <x:v>0</x:v>
      </x:c>
      <x:c r="E22" s="62" t="n">
        <x:f>SUMIFS('04_仕訳帳'!$J:$J,'04_仕訳帳'!$C:$C,$B$3,'04_仕訳帳'!$H:$H,C22)</x:f>
        <x:v>0</x:v>
      </x:c>
      <x:c r="F22" s="62" t="n">
        <x:f>D22-E22</x:f>
        <x:v>0</x:v>
      </x:c>
      <x:c r="G22" t="str">
        <x:v>人件費</x:v>
      </x:c>
      <x:c r="H22" t="str"/>
    </x:row>
    <x:row r="23">
      <x:c r="A23" t="str">
        <x:v>5700</x:v>
      </x:c>
      <x:c r="B23" t="str">
        <x:v>費用</x:v>
      </x:c>
      <x:c r="C23" t="str">
        <x:v>固定費</x:v>
      </x:c>
      <x:c r="D23" s="62" t="n">
        <x:f>SUMIFS('04_仕訳帳'!$G:$G,'04_仕訳帳'!$C:$C,$B$3,'04_仕訳帳'!$E:$E,C23)</x:f>
        <x:v>0</x:v>
      </x:c>
      <x:c r="E23" s="62" t="n">
        <x:f>SUMIFS('04_仕訳帳'!$J:$J,'04_仕訳帳'!$C:$C,$B$3,'04_仕訳帳'!$H:$H,C23)</x:f>
        <x:v>0</x:v>
      </x:c>
      <x:c r="F23" s="62" t="n">
        <x:f>D23-E23</x:f>
        <x:v>0</x:v>
      </x:c>
      <x:c r="G23" t="str">
        <x:v>固定費</x:v>
      </x:c>
      <x:c r="H23" t="str"/>
    </x:row>
    <x:row r="24">
      <x:c r="A24" t="str">
        <x:v>5800</x:v>
      </x:c>
      <x:c r="B24" t="str">
        <x:v>費用</x:v>
      </x:c>
      <x:c r="C24" t="str">
        <x:v>MCコスト</x:v>
      </x:c>
      <x:c r="D24" s="62" t="n">
        <x:f>SUMIFS('04_仕訳帳'!$G:$G,'04_仕訳帳'!$C:$C,$B$3,'04_仕訳帳'!$E:$E,C24)</x:f>
        <x:v>0</x:v>
      </x:c>
      <x:c r="E24" s="62" t="n">
        <x:f>SUMIFS('04_仕訳帳'!$J:$J,'04_仕訳帳'!$C:$C,$B$3,'04_仕訳帳'!$H:$H,C24)</x:f>
        <x:v>0</x:v>
      </x:c>
      <x:c r="F24" s="62" t="n">
        <x:f>D24-E24</x:f>
        <x:v>0</x:v>
      </x:c>
      <x:c r="G24" t="str">
        <x:v>MC</x:v>
      </x:c>
      <x:c r="H24" t="str"/>
    </x:row>
    <x:row r="25">
      <x:c r="A25" t="str">
        <x:v>5900</x:v>
      </x:c>
      <x:c r="B25" t="str">
        <x:v>費用</x:v>
      </x:c>
      <x:c r="C25" t="str">
        <x:v>減価償却費</x:v>
      </x:c>
      <x:c r="D25" s="62" t="n">
        <x:f>SUMIFS('04_仕訳帳'!$G:$G,'04_仕訳帳'!$C:$C,$B$3,'04_仕訳帳'!$E:$E,C25)</x:f>
        <x:v>0</x:v>
      </x:c>
      <x:c r="E25" s="62" t="n">
        <x:f>SUMIFS('04_仕訳帳'!$J:$J,'04_仕訳帳'!$C:$C,$B$3,'04_仕訳帳'!$H:$H,C25)</x:f>
        <x:v>0</x:v>
      </x:c>
      <x:c r="F25" s="62" t="n">
        <x:f>D25-E25</x:f>
        <x:v>0</x:v>
      </x:c>
      <x:c r="G25" t="str">
        <x:v>D&amp;A</x:v>
      </x:c>
      <x:c r="H25" t="str"/>
    </x:row>
    <x:row r="26">
      <x:c r="A26" t="str">
        <x:v>6100</x:v>
      </x:c>
      <x:c r="B26" t="str">
        <x:v>営業外</x:v>
      </x:c>
      <x:c r="C26" t="str">
        <x:v>支払利息</x:v>
      </x:c>
      <x:c r="D26" s="62" t="n">
        <x:f>SUMIFS('04_仕訳帳'!$G:$G,'04_仕訳帳'!$C:$C,$B$3,'04_仕訳帳'!$E:$E,C26)</x:f>
        <x:v>0</x:v>
      </x:c>
      <x:c r="E26" s="62" t="n">
        <x:f>SUMIFS('04_仕訳帳'!$J:$J,'04_仕訳帳'!$C:$C,$B$3,'04_仕訳帳'!$H:$H,C26)</x:f>
        <x:v>0</x:v>
      </x:c>
      <x:c r="F26" s="62" t="n">
        <x:f>D26-E26</x:f>
        <x:v>0</x:v>
      </x:c>
      <x:c r="G26" t="str">
        <x:v>営業外費用</x:v>
      </x:c>
      <x:c r="H26" t="str"/>
    </x:row>
    <x:row r="27">
      <x:c r="A27" t="str">
        <x:v>7000</x:v>
      </x:c>
      <x:c r="B27" t="str">
        <x:v>税金</x:v>
      </x:c>
      <x:c r="C27" t="str">
        <x:v>法人税等</x:v>
      </x:c>
      <x:c r="D27" s="62" t="n">
        <x:f>SUMIFS('04_仕訳帳'!$G:$G,'04_仕訳帳'!$C:$C,$B$3,'04_仕訳帳'!$E:$E,C27)</x:f>
        <x:v>0</x:v>
      </x:c>
      <x:c r="E27" s="62" t="n">
        <x:f>SUMIFS('04_仕訳帳'!$J:$J,'04_仕訳帳'!$C:$C,$B$3,'04_仕訳帳'!$H:$H,C27)</x:f>
        <x:v>0</x:v>
      </x:c>
      <x:c r="F27" s="62" t="n">
        <x:f>D27-E27</x:f>
        <x:v>0</x:v>
      </x:c>
      <x:c r="G27" t="str">
        <x:v>税金</x:v>
      </x:c>
      <x:c r="H27" t="str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月次PL｜入力ページ・借入返済から自動連動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</x:row>
    <x:row r="2">
      <x:c r="A2" s="2" t="str">
        <x:v>単位</x:v>
      </x:c>
      <x:c r="B2" s="2" t="str">
        <x:v>千円 / % / 回 / 倍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</x:row>
    <x:row r="5">
      <x:c r="A5" s="9" t="str">
        <x:v>区分</x:v>
      </x:c>
      <x:c r="B5" s="9" t="str">
        <x:v>項目</x:v>
      </x:c>
      <x:c r="C5" s="9" t="str">
        <x:v>2026/04</x:v>
      </x:c>
      <x:c r="D5" s="9" t="str">
        <x:v>2026/05</x:v>
      </x:c>
      <x:c r="E5" s="9" t="str">
        <x:v>2026/06</x:v>
      </x:c>
      <x:c r="F5" s="9" t="str">
        <x:v>2026/07</x:v>
      </x:c>
      <x:c r="G5" s="9" t="str">
        <x:v>2026/08</x:v>
      </x:c>
      <x:c r="H5" s="9" t="str">
        <x:v>2026/09</x:v>
      </x:c>
      <x:c r="I5" s="9" t="str">
        <x:v>2026/10</x:v>
      </x:c>
      <x:c r="J5" s="9" t="str">
        <x:v>2026/11</x:v>
      </x:c>
      <x:c r="K5" s="9" t="str">
        <x:v>2026/12</x:v>
      </x:c>
      <x:c r="L5" s="9" t="str">
        <x:v>2027/01</x:v>
      </x:c>
      <x:c r="M5" s="9" t="str">
        <x:v>2027/02</x:v>
      </x:c>
      <x:c r="N5" s="9" t="str">
        <x:v>2027/03</x:v>
      </x:c>
      <x:c r="O5" s="9" t="str">
        <x:v>2027/04</x:v>
      </x:c>
      <x:c r="P5" s="9" t="str">
        <x:v>2027/05</x:v>
      </x:c>
      <x:c r="Q5" s="9" t="str">
        <x:v>2027/06</x:v>
      </x:c>
      <x:c r="R5" s="9" t="str">
        <x:v>2027/07</x:v>
      </x:c>
      <x:c r="S5" s="9" t="str">
        <x:v>2027/08</x:v>
      </x:c>
      <x:c r="T5" s="9" t="str">
        <x:v>2027/09</x:v>
      </x:c>
      <x:c r="U5" s="9" t="str">
        <x:v>2027/10</x:v>
      </x:c>
      <x:c r="V5" s="9" t="str">
        <x:v>2027/11</x:v>
      </x:c>
      <x:c r="W5" s="9" t="str">
        <x:v>2027/12</x:v>
      </x:c>
      <x:c r="X5" s="9" t="str">
        <x:v>2028/01</x:v>
      </x:c>
      <x:c r="Y5" s="9" t="str">
        <x:v>2028/02</x:v>
      </x:c>
      <x:c r="Z5" s="9" t="str">
        <x:v>2028/03</x:v>
      </x:c>
      <x:c r="AA5" s="9" t="str">
        <x:v>2028/04</x:v>
      </x:c>
      <x:c r="AB5" s="9" t="str">
        <x:v>2028/05</x:v>
      </x:c>
      <x:c r="AC5" s="9" t="str">
        <x:v>2028/06</x:v>
      </x:c>
      <x:c r="AD5" s="9" t="str">
        <x:v>2028/07</x:v>
      </x:c>
      <x:c r="AE5" s="9" t="str">
        <x:v>2028/08</x:v>
      </x:c>
      <x:c r="AF5" s="9" t="str">
        <x:v>2028/09</x:v>
      </x:c>
      <x:c r="AG5" s="9" t="str">
        <x:v>2028/10</x:v>
      </x:c>
      <x:c r="AH5" s="9" t="str">
        <x:v>2028/11</x:v>
      </x:c>
      <x:c r="AI5" s="9" t="str">
        <x:v>2028/12</x:v>
      </x:c>
      <x:c r="AJ5" s="9" t="str">
        <x:v>2029/01</x:v>
      </x:c>
      <x:c r="AK5" s="9" t="str">
        <x:v>2029/02</x:v>
      </x:c>
      <x:c r="AL5" s="9" t="str">
        <x:v>2029/03</x:v>
      </x:c>
      <x:c r="AM5" s="9" t="str">
        <x:v>2029/04</x:v>
      </x:c>
      <x:c r="AN5" s="9" t="str">
        <x:v>2029/05</x:v>
      </x:c>
      <x:c r="AO5" s="9" t="str">
        <x:v>2029/06</x:v>
      </x:c>
      <x:c r="AP5" s="9" t="str">
        <x:v>2029/07</x:v>
      </x:c>
      <x:c r="AQ5" s="9" t="str">
        <x:v>2029/08</x:v>
      </x:c>
      <x:c r="AR5" s="9" t="str">
        <x:v>2029/09</x:v>
      </x:c>
      <x:c r="AS5" s="9" t="str">
        <x:v>2029/10</x:v>
      </x:c>
      <x:c r="AT5" s="9" t="str">
        <x:v>2029/11</x:v>
      </x:c>
      <x:c r="AU5" s="9" t="str">
        <x:v>2029/12</x:v>
      </x:c>
      <x:c r="AV5" s="9" t="str">
        <x:v>2030/01</x:v>
      </x:c>
      <x:c r="AW5" s="9" t="str">
        <x:v>2030/02</x:v>
      </x:c>
      <x:c r="AX5" s="9" t="str">
        <x:v>2030/03</x:v>
      </x:c>
      <x:c r="AY5" s="9" t="str">
        <x:v>2030/04</x:v>
      </x:c>
      <x:c r="AZ5" s="9" t="str">
        <x:v>2030/05</x:v>
      </x:c>
      <x:c r="BA5" s="9" t="str">
        <x:v>2030/06</x:v>
      </x:c>
      <x:c r="BB5" s="9" t="str">
        <x:v>2030/07</x:v>
      </x:c>
      <x:c r="BC5" s="9" t="str">
        <x:v>2030/08</x:v>
      </x:c>
      <x:c r="BD5" s="9" t="str">
        <x:v>2030/09</x:v>
      </x:c>
      <x:c r="BE5" s="9" t="str">
        <x:v>2030/10</x:v>
      </x:c>
      <x:c r="BF5" s="9" t="str">
        <x:v>2030/11</x:v>
      </x:c>
      <x:c r="BG5" s="9" t="str">
        <x:v>2030/12</x:v>
      </x:c>
      <x:c r="BH5" s="9" t="str">
        <x:v>2031/01</x:v>
      </x:c>
      <x:c r="BI5" s="9" t="str">
        <x:v>2031/02</x:v>
      </x:c>
      <x:c r="BJ5" s="9" t="str">
        <x:v>2031/03</x:v>
      </x:c>
    </x:row>
    <x:row r="6">
      <x:c r="A6" s="12" t="str">
        <x:v>売上高</x:v>
      </x:c>
      <x:c r="B6" s="12" t="str">
        <x:v>宿泊売上</x:v>
      </x:c>
      <x:c r="C6" s="40" t="n">
        <x:f>'01_入力ページ'!C12</x:f>
        <x:v>2490.9</x:v>
      </x:c>
      <x:c r="D6" s="40" t="n">
        <x:f>'01_入力ページ'!D12</x:f>
        <x:v>2573.93</x:v>
      </x:c>
      <x:c r="E6" s="40" t="n">
        <x:f>'01_入力ページ'!E12</x:f>
        <x:v>2490.9</x:v>
      </x:c>
      <x:c r="F6" s="40" t="n">
        <x:f>'01_入力ページ'!F12</x:f>
        <x:v>6007.800000000001</x:v>
      </x:c>
      <x:c r="G6" s="40" t="n">
        <x:f>'01_入力ページ'!G12</x:f>
        <x:v>6007.800000000001</x:v>
      </x:c>
      <x:c r="H6" s="40" t="n">
        <x:f>'01_入力ページ'!H12</x:f>
        <x:v>2490.9</x:v>
      </x:c>
      <x:c r="I6" s="40" t="n">
        <x:f>'01_入力ページ'!I12</x:f>
        <x:v>2573.93</x:v>
      </x:c>
      <x:c r="J6" s="40" t="n">
        <x:f>'01_入力ページ'!J12</x:f>
        <x:v>2490.9</x:v>
      </x:c>
      <x:c r="K6" s="40" t="n">
        <x:f>'01_入力ページ'!K12</x:f>
        <x:v>6007.800000000001</x:v>
      </x:c>
      <x:c r="L6" s="40" t="n">
        <x:f>'01_入力ページ'!L12</x:f>
        <x:v>8935.13</x:v>
      </x:c>
      <x:c r="M6" s="40" t="n">
        <x:f>'01_入力ページ'!M12</x:f>
        <x:v>8070.439999999999</x:v>
      </x:c>
      <x:c r="N6" s="40" t="n">
        <x:f>'01_入力ページ'!N12</x:f>
        <x:v>3386.75</x:v>
      </x:c>
      <x:c r="O6" s="40" t="n">
        <x:f>'01_入力ページ'!O12</x:f>
        <x:v>2490.9</x:v>
      </x:c>
      <x:c r="P6" s="40" t="n">
        <x:f>'01_入力ページ'!P12</x:f>
        <x:v>2573.93</x:v>
      </x:c>
      <x:c r="Q6" s="40" t="n">
        <x:f>'01_入力ページ'!Q12</x:f>
        <x:v>2490.9</x:v>
      </x:c>
      <x:c r="R6" s="40" t="n">
        <x:f>'01_入力ページ'!R12</x:f>
        <x:v>6007.800000000001</x:v>
      </x:c>
      <x:c r="S6" s="40" t="n">
        <x:f>'01_入力ページ'!S12</x:f>
        <x:v>6007.800000000001</x:v>
      </x:c>
      <x:c r="T6" s="40" t="n">
        <x:f>'01_入力ページ'!T12</x:f>
        <x:v>2490.9</x:v>
      </x:c>
      <x:c r="U6" s="40" t="n">
        <x:f>'01_入力ページ'!U12</x:f>
        <x:v>2573.93</x:v>
      </x:c>
      <x:c r="V6" s="40" t="n">
        <x:f>'01_入力ページ'!V12</x:f>
        <x:v>2490.9</x:v>
      </x:c>
      <x:c r="W6" s="40" t="n">
        <x:f>'01_入力ページ'!W12</x:f>
        <x:v>6007.800000000001</x:v>
      </x:c>
      <x:c r="X6" s="40" t="n">
        <x:f>'01_入力ページ'!X12</x:f>
        <x:v>8935.13</x:v>
      </x:c>
      <x:c r="Y6" s="40" t="n">
        <x:f>'01_入力ページ'!Y12</x:f>
        <x:v>8358.67</x:v>
      </x:c>
      <x:c r="Z6" s="40" t="n">
        <x:f>'01_入力ページ'!Z12</x:f>
        <x:v>3386.75</x:v>
      </x:c>
      <x:c r="AA6" s="40" t="n">
        <x:f>'01_入力ページ'!AA12</x:f>
        <x:v>2490.9</x:v>
      </x:c>
      <x:c r="AB6" s="40" t="n">
        <x:f>'01_入力ページ'!AB12</x:f>
        <x:v>2573.93</x:v>
      </x:c>
      <x:c r="AC6" s="40" t="n">
        <x:f>'01_入力ページ'!AC12</x:f>
        <x:v>2490.9</x:v>
      </x:c>
      <x:c r="AD6" s="40" t="n">
        <x:f>'01_入力ページ'!AD12</x:f>
        <x:v>6007.800000000001</x:v>
      </x:c>
      <x:c r="AE6" s="40" t="n">
        <x:f>'01_入力ページ'!AE12</x:f>
        <x:v>6007.800000000001</x:v>
      </x:c>
      <x:c r="AF6" s="40" t="n">
        <x:f>'01_入力ページ'!AF12</x:f>
        <x:v>2490.9</x:v>
      </x:c>
      <x:c r="AG6" s="40" t="n">
        <x:f>'01_入力ページ'!AG12</x:f>
        <x:v>2573.93</x:v>
      </x:c>
      <x:c r="AH6" s="40" t="n">
        <x:f>'01_入力ページ'!AH12</x:f>
        <x:v>2490.9</x:v>
      </x:c>
      <x:c r="AI6" s="40" t="n">
        <x:f>'01_入力ページ'!AI12</x:f>
        <x:v>6007.800000000001</x:v>
      </x:c>
      <x:c r="AJ6" s="40" t="n">
        <x:f>'01_入力ページ'!AJ12</x:f>
        <x:v>8935.13</x:v>
      </x:c>
      <x:c r="AK6" s="40" t="n">
        <x:f>'01_入力ページ'!AK12</x:f>
        <x:v>8070.439999999999</x:v>
      </x:c>
      <x:c r="AL6" s="40" t="n">
        <x:f>'01_入力ページ'!AL12</x:f>
        <x:v>3386.75</x:v>
      </x:c>
      <x:c r="AM6" s="40" t="n">
        <x:f>'01_入力ページ'!AM12</x:f>
        <x:v>2490.9</x:v>
      </x:c>
      <x:c r="AN6" s="40" t="n">
        <x:f>'01_入力ページ'!AN12</x:f>
        <x:v>2573.93</x:v>
      </x:c>
      <x:c r="AO6" s="40" t="n">
        <x:f>'01_入力ページ'!AO12</x:f>
        <x:v>2490.9</x:v>
      </x:c>
      <x:c r="AP6" s="40" t="n">
        <x:f>'01_入力ページ'!AP12</x:f>
        <x:v>6007.800000000001</x:v>
      </x:c>
      <x:c r="AQ6" s="40" t="n">
        <x:f>'01_入力ページ'!AQ12</x:f>
        <x:v>6007.800000000001</x:v>
      </x:c>
      <x:c r="AR6" s="40" t="n">
        <x:f>'01_入力ページ'!AR12</x:f>
        <x:v>2490.9</x:v>
      </x:c>
      <x:c r="AS6" s="40" t="n">
        <x:f>'01_入力ページ'!AS12</x:f>
        <x:v>2573.93</x:v>
      </x:c>
      <x:c r="AT6" s="40" t="n">
        <x:f>'01_入力ページ'!AT12</x:f>
        <x:v>2490.9</x:v>
      </x:c>
      <x:c r="AU6" s="40" t="n">
        <x:f>'01_入力ページ'!AU12</x:f>
        <x:v>6007.800000000001</x:v>
      </x:c>
      <x:c r="AV6" s="40" t="n">
        <x:f>'01_入力ページ'!AV12</x:f>
        <x:v>8935.13</x:v>
      </x:c>
      <x:c r="AW6" s="40" t="n">
        <x:f>'01_入力ページ'!AW12</x:f>
        <x:v>8070.439999999999</x:v>
      </x:c>
      <x:c r="AX6" s="40" t="n">
        <x:f>'01_入力ページ'!AX12</x:f>
        <x:v>3386.75</x:v>
      </x:c>
      <x:c r="AY6" s="40" t="n">
        <x:f>'01_入力ページ'!AY12</x:f>
        <x:v>2490.9</x:v>
      </x:c>
      <x:c r="AZ6" s="40" t="n">
        <x:f>'01_入力ページ'!AZ12</x:f>
        <x:v>2573.93</x:v>
      </x:c>
      <x:c r="BA6" s="40" t="n">
        <x:f>'01_入力ページ'!BA12</x:f>
        <x:v>2490.9</x:v>
      </x:c>
      <x:c r="BB6" s="40" t="n">
        <x:f>'01_入力ページ'!BB12</x:f>
        <x:v>6007.800000000001</x:v>
      </x:c>
      <x:c r="BC6" s="40" t="n">
        <x:f>'01_入力ページ'!BC12</x:f>
        <x:v>6007.800000000001</x:v>
      </x:c>
      <x:c r="BD6" s="40" t="n">
        <x:f>'01_入力ページ'!BD12</x:f>
        <x:v>2490.9</x:v>
      </x:c>
      <x:c r="BE6" s="40" t="n">
        <x:f>'01_入力ページ'!BE12</x:f>
        <x:v>2573.93</x:v>
      </x:c>
      <x:c r="BF6" s="40" t="n">
        <x:f>'01_入力ページ'!BF12</x:f>
        <x:v>2490.9</x:v>
      </x:c>
      <x:c r="BG6" s="40" t="n">
        <x:f>'01_入力ページ'!BG12</x:f>
        <x:v>6007.800000000001</x:v>
      </x:c>
      <x:c r="BH6" s="40" t="n">
        <x:f>'01_入力ページ'!BH12</x:f>
        <x:v>8935.13</x:v>
      </x:c>
      <x:c r="BI6" s="40" t="n">
        <x:f>'01_入力ページ'!BI12</x:f>
        <x:v>8070.439999999999</x:v>
      </x:c>
      <x:c r="BJ6" s="40" t="n">
        <x:f>'01_入力ページ'!BJ12</x:f>
        <x:v>3386.75</x:v>
      </x:c>
    </x:row>
    <x:row r="7">
      <x:c r="A7" s="12" t="str">
        <x:v>売上高</x:v>
      </x:c>
      <x:c r="B7" s="12" t="str">
        <x:v>その他売上</x:v>
      </x:c>
      <x:c r="C7" s="40" t="n">
        <x:f>'01_入力ページ'!C13</x:f>
        <x:v>0</x:v>
      </x:c>
      <x:c r="D7" s="40" t="n">
        <x:f>'01_入力ページ'!D13</x:f>
        <x:v>0</x:v>
      </x:c>
      <x:c r="E7" s="40" t="n">
        <x:f>'01_入力ページ'!E13</x:f>
        <x:v>0</x:v>
      </x:c>
      <x:c r="F7" s="40" t="n">
        <x:f>'01_入力ページ'!F13</x:f>
        <x:v>0</x:v>
      </x:c>
      <x:c r="G7" s="40" t="n">
        <x:f>'01_入力ページ'!G13</x:f>
        <x:v>0</x:v>
      </x:c>
      <x:c r="H7" s="40" t="n">
        <x:f>'01_入力ページ'!H13</x:f>
        <x:v>0</x:v>
      </x:c>
      <x:c r="I7" s="40" t="n">
        <x:f>'01_入力ページ'!I13</x:f>
        <x:v>0</x:v>
      </x:c>
      <x:c r="J7" s="40" t="n">
        <x:f>'01_入力ページ'!J13</x:f>
        <x:v>0</x:v>
      </x:c>
      <x:c r="K7" s="40" t="n">
        <x:f>'01_入力ページ'!K13</x:f>
        <x:v>0</x:v>
      </x:c>
      <x:c r="L7" s="40" t="n">
        <x:f>'01_入力ページ'!L13</x:f>
        <x:v>0</x:v>
      </x:c>
      <x:c r="M7" s="40" t="n">
        <x:f>'01_入力ページ'!M13</x:f>
        <x:v>0</x:v>
      </x:c>
      <x:c r="N7" s="40" t="n">
        <x:f>'01_入力ページ'!N13</x:f>
        <x:v>0</x:v>
      </x:c>
      <x:c r="O7" s="40" t="n">
        <x:f>'01_入力ページ'!O13</x:f>
        <x:v>0</x:v>
      </x:c>
      <x:c r="P7" s="40" t="n">
        <x:f>'01_入力ページ'!P13</x:f>
        <x:v>0</x:v>
      </x:c>
      <x:c r="Q7" s="40" t="n">
        <x:f>'01_入力ページ'!Q13</x:f>
        <x:v>0</x:v>
      </x:c>
      <x:c r="R7" s="40" t="n">
        <x:f>'01_入力ページ'!R13</x:f>
        <x:v>0</x:v>
      </x:c>
      <x:c r="S7" s="40" t="n">
        <x:f>'01_入力ページ'!S13</x:f>
        <x:v>0</x:v>
      </x:c>
      <x:c r="T7" s="40" t="n">
        <x:f>'01_入力ページ'!T13</x:f>
        <x:v>0</x:v>
      </x:c>
      <x:c r="U7" s="40" t="n">
        <x:f>'01_入力ページ'!U13</x:f>
        <x:v>0</x:v>
      </x:c>
      <x:c r="V7" s="40" t="n">
        <x:f>'01_入力ページ'!V13</x:f>
        <x:v>0</x:v>
      </x:c>
      <x:c r="W7" s="40" t="n">
        <x:f>'01_入力ページ'!W13</x:f>
        <x:v>0</x:v>
      </x:c>
      <x:c r="X7" s="40" t="n">
        <x:f>'01_入力ページ'!X13</x:f>
        <x:v>0</x:v>
      </x:c>
      <x:c r="Y7" s="40" t="n">
        <x:f>'01_入力ページ'!Y13</x:f>
        <x:v>0</x:v>
      </x:c>
      <x:c r="Z7" s="40" t="n">
        <x:f>'01_入力ページ'!Z13</x:f>
        <x:v>0</x:v>
      </x:c>
      <x:c r="AA7" s="40" t="n">
        <x:f>'01_入力ページ'!AA13</x:f>
        <x:v>0</x:v>
      </x:c>
      <x:c r="AB7" s="40" t="n">
        <x:f>'01_入力ページ'!AB13</x:f>
        <x:v>0</x:v>
      </x:c>
      <x:c r="AC7" s="40" t="n">
        <x:f>'01_入力ページ'!AC13</x:f>
        <x:v>0</x:v>
      </x:c>
      <x:c r="AD7" s="40" t="n">
        <x:f>'01_入力ページ'!AD13</x:f>
        <x:v>0</x:v>
      </x:c>
      <x:c r="AE7" s="40" t="n">
        <x:f>'01_入力ページ'!AE13</x:f>
        <x:v>0</x:v>
      </x:c>
      <x:c r="AF7" s="40" t="n">
        <x:f>'01_入力ページ'!AF13</x:f>
        <x:v>0</x:v>
      </x:c>
      <x:c r="AG7" s="40" t="n">
        <x:f>'01_入力ページ'!AG13</x:f>
        <x:v>0</x:v>
      </x:c>
      <x:c r="AH7" s="40" t="n">
        <x:f>'01_入力ページ'!AH13</x:f>
        <x:v>0</x:v>
      </x:c>
      <x:c r="AI7" s="40" t="n">
        <x:f>'01_入力ページ'!AI13</x:f>
        <x:v>0</x:v>
      </x:c>
      <x:c r="AJ7" s="40" t="n">
        <x:f>'01_入力ページ'!AJ13</x:f>
        <x:v>0</x:v>
      </x:c>
      <x:c r="AK7" s="40" t="n">
        <x:f>'01_入力ページ'!AK13</x:f>
        <x:v>0</x:v>
      </x:c>
      <x:c r="AL7" s="40" t="n">
        <x:f>'01_入力ページ'!AL13</x:f>
        <x:v>0</x:v>
      </x:c>
      <x:c r="AM7" s="40" t="n">
        <x:f>'01_入力ページ'!AM13</x:f>
        <x:v>0</x:v>
      </x:c>
      <x:c r="AN7" s="40" t="n">
        <x:f>'01_入力ページ'!AN13</x:f>
        <x:v>0</x:v>
      </x:c>
      <x:c r="AO7" s="40" t="n">
        <x:f>'01_入力ページ'!AO13</x:f>
        <x:v>0</x:v>
      </x:c>
      <x:c r="AP7" s="40" t="n">
        <x:f>'01_入力ページ'!AP13</x:f>
        <x:v>0</x:v>
      </x:c>
      <x:c r="AQ7" s="40" t="n">
        <x:f>'01_入力ページ'!AQ13</x:f>
        <x:v>0</x:v>
      </x:c>
      <x:c r="AR7" s="40" t="n">
        <x:f>'01_入力ページ'!AR13</x:f>
        <x:v>0</x:v>
      </x:c>
      <x:c r="AS7" s="40" t="n">
        <x:f>'01_入力ページ'!AS13</x:f>
        <x:v>0</x:v>
      </x:c>
      <x:c r="AT7" s="40" t="n">
        <x:f>'01_入力ページ'!AT13</x:f>
        <x:v>0</x:v>
      </x:c>
      <x:c r="AU7" s="40" t="n">
        <x:f>'01_入力ページ'!AU13</x:f>
        <x:v>0</x:v>
      </x:c>
      <x:c r="AV7" s="40" t="n">
        <x:f>'01_入力ページ'!AV13</x:f>
        <x:v>0</x:v>
      </x:c>
      <x:c r="AW7" s="40" t="n">
        <x:f>'01_入力ページ'!AW13</x:f>
        <x:v>0</x:v>
      </x:c>
      <x:c r="AX7" s="40" t="n">
        <x:f>'01_入力ページ'!AX13</x:f>
        <x:v>0</x:v>
      </x:c>
      <x:c r="AY7" s="40" t="n">
        <x:f>'01_入力ページ'!AY13</x:f>
        <x:v>0</x:v>
      </x:c>
      <x:c r="AZ7" s="40" t="n">
        <x:f>'01_入力ページ'!AZ13</x:f>
        <x:v>0</x:v>
      </x:c>
      <x:c r="BA7" s="40" t="n">
        <x:f>'01_入力ページ'!BA13</x:f>
        <x:v>0</x:v>
      </x:c>
      <x:c r="BB7" s="40" t="n">
        <x:f>'01_入力ページ'!BB13</x:f>
        <x:v>0</x:v>
      </x:c>
      <x:c r="BC7" s="40" t="n">
        <x:f>'01_入力ページ'!BC13</x:f>
        <x:v>0</x:v>
      </x:c>
      <x:c r="BD7" s="40" t="n">
        <x:f>'01_入力ページ'!BD13</x:f>
        <x:v>0</x:v>
      </x:c>
      <x:c r="BE7" s="40" t="n">
        <x:f>'01_入力ページ'!BE13</x:f>
        <x:v>0</x:v>
      </x:c>
      <x:c r="BF7" s="40" t="n">
        <x:f>'01_入力ページ'!BF13</x:f>
        <x:v>0</x:v>
      </x:c>
      <x:c r="BG7" s="40" t="n">
        <x:f>'01_入力ページ'!BG13</x:f>
        <x:v>0</x:v>
      </x:c>
      <x:c r="BH7" s="40" t="n">
        <x:f>'01_入力ページ'!BH13</x:f>
        <x:v>0</x:v>
      </x:c>
      <x:c r="BI7" s="40" t="n">
        <x:f>'01_入力ページ'!BI13</x:f>
        <x:v>0</x:v>
      </x:c>
      <x:c r="BJ7" s="40" t="n">
        <x:f>'01_入力ページ'!BJ13</x:f>
        <x:v>0</x:v>
      </x:c>
    </x:row>
    <x:row r="8">
      <x:c r="A8" s="12" t="str">
        <x:v>売上高</x:v>
      </x:c>
      <x:c r="B8" s="12" t="str">
        <x:v>売上高合計</x:v>
      </x:c>
      <x:c r="C8" s="40" t="n">
        <x:f>'01_入力ページ'!C14</x:f>
        <x:v>2490.9</x:v>
      </x:c>
      <x:c r="D8" s="40" t="n">
        <x:f>'01_入力ページ'!D14</x:f>
        <x:v>2573.93</x:v>
      </x:c>
      <x:c r="E8" s="40" t="n">
        <x:f>'01_入力ページ'!E14</x:f>
        <x:v>2490.9</x:v>
      </x:c>
      <x:c r="F8" s="40" t="n">
        <x:f>'01_入力ページ'!F14</x:f>
        <x:v>6007.800000000001</x:v>
      </x:c>
      <x:c r="G8" s="40" t="n">
        <x:f>'01_入力ページ'!G14</x:f>
        <x:v>6007.800000000001</x:v>
      </x:c>
      <x:c r="H8" s="40" t="n">
        <x:f>'01_入力ページ'!H14</x:f>
        <x:v>2490.9</x:v>
      </x:c>
      <x:c r="I8" s="40" t="n">
        <x:f>'01_入力ページ'!I14</x:f>
        <x:v>2573.93</x:v>
      </x:c>
      <x:c r="J8" s="40" t="n">
        <x:f>'01_入力ページ'!J14</x:f>
        <x:v>2490.9</x:v>
      </x:c>
      <x:c r="K8" s="40" t="n">
        <x:f>'01_入力ページ'!K14</x:f>
        <x:v>6007.800000000001</x:v>
      </x:c>
      <x:c r="L8" s="40" t="n">
        <x:f>'01_入力ページ'!L14</x:f>
        <x:v>8935.13</x:v>
      </x:c>
      <x:c r="M8" s="40" t="n">
        <x:f>'01_入力ページ'!M14</x:f>
        <x:v>8070.439999999999</x:v>
      </x:c>
      <x:c r="N8" s="40" t="n">
        <x:f>'01_入力ページ'!N14</x:f>
        <x:v>3386.75</x:v>
      </x:c>
      <x:c r="O8" s="40" t="n">
        <x:f>'01_入力ページ'!O14</x:f>
        <x:v>2490.9</x:v>
      </x:c>
      <x:c r="P8" s="40" t="n">
        <x:f>'01_入力ページ'!P14</x:f>
        <x:v>2573.93</x:v>
      </x:c>
      <x:c r="Q8" s="40" t="n">
        <x:f>'01_入力ページ'!Q14</x:f>
        <x:v>2490.9</x:v>
      </x:c>
      <x:c r="R8" s="40" t="n">
        <x:f>'01_入力ページ'!R14</x:f>
        <x:v>6007.800000000001</x:v>
      </x:c>
      <x:c r="S8" s="40" t="n">
        <x:f>'01_入力ページ'!S14</x:f>
        <x:v>6007.800000000001</x:v>
      </x:c>
      <x:c r="T8" s="40" t="n">
        <x:f>'01_入力ページ'!T14</x:f>
        <x:v>2490.9</x:v>
      </x:c>
      <x:c r="U8" s="40" t="n">
        <x:f>'01_入力ページ'!U14</x:f>
        <x:v>2573.93</x:v>
      </x:c>
      <x:c r="V8" s="40" t="n">
        <x:f>'01_入力ページ'!V14</x:f>
        <x:v>2490.9</x:v>
      </x:c>
      <x:c r="W8" s="40" t="n">
        <x:f>'01_入力ページ'!W14</x:f>
        <x:v>6007.800000000001</x:v>
      </x:c>
      <x:c r="X8" s="40" t="n">
        <x:f>'01_入力ページ'!X14</x:f>
        <x:v>8935.13</x:v>
      </x:c>
      <x:c r="Y8" s="40" t="n">
        <x:f>'01_入力ページ'!Y14</x:f>
        <x:v>8358.67</x:v>
      </x:c>
      <x:c r="Z8" s="40" t="n">
        <x:f>'01_入力ページ'!Z14</x:f>
        <x:v>3386.75</x:v>
      </x:c>
      <x:c r="AA8" s="40" t="n">
        <x:f>'01_入力ページ'!AA14</x:f>
        <x:v>2490.9</x:v>
      </x:c>
      <x:c r="AB8" s="40" t="n">
        <x:f>'01_入力ページ'!AB14</x:f>
        <x:v>2573.93</x:v>
      </x:c>
      <x:c r="AC8" s="40" t="n">
        <x:f>'01_入力ページ'!AC14</x:f>
        <x:v>2490.9</x:v>
      </x:c>
      <x:c r="AD8" s="40" t="n">
        <x:f>'01_入力ページ'!AD14</x:f>
        <x:v>6007.800000000001</x:v>
      </x:c>
      <x:c r="AE8" s="40" t="n">
        <x:f>'01_入力ページ'!AE14</x:f>
        <x:v>6007.800000000001</x:v>
      </x:c>
      <x:c r="AF8" s="40" t="n">
        <x:f>'01_入力ページ'!AF14</x:f>
        <x:v>2490.9</x:v>
      </x:c>
      <x:c r="AG8" s="40" t="n">
        <x:f>'01_入力ページ'!AG14</x:f>
        <x:v>2573.93</x:v>
      </x:c>
      <x:c r="AH8" s="40" t="n">
        <x:f>'01_入力ページ'!AH14</x:f>
        <x:v>2490.9</x:v>
      </x:c>
      <x:c r="AI8" s="40" t="n">
        <x:f>'01_入力ページ'!AI14</x:f>
        <x:v>6007.800000000001</x:v>
      </x:c>
      <x:c r="AJ8" s="40" t="n">
        <x:f>'01_入力ページ'!AJ14</x:f>
        <x:v>8935.13</x:v>
      </x:c>
      <x:c r="AK8" s="40" t="n">
        <x:f>'01_入力ページ'!AK14</x:f>
        <x:v>8070.439999999999</x:v>
      </x:c>
      <x:c r="AL8" s="40" t="n">
        <x:f>'01_入力ページ'!AL14</x:f>
        <x:v>3386.75</x:v>
      </x:c>
      <x:c r="AM8" s="40" t="n">
        <x:f>'01_入力ページ'!AM14</x:f>
        <x:v>2490.9</x:v>
      </x:c>
      <x:c r="AN8" s="40" t="n">
        <x:f>'01_入力ページ'!AN14</x:f>
        <x:v>2573.93</x:v>
      </x:c>
      <x:c r="AO8" s="40" t="n">
        <x:f>'01_入力ページ'!AO14</x:f>
        <x:v>2490.9</x:v>
      </x:c>
      <x:c r="AP8" s="40" t="n">
        <x:f>'01_入力ページ'!AP14</x:f>
        <x:v>6007.800000000001</x:v>
      </x:c>
      <x:c r="AQ8" s="40" t="n">
        <x:f>'01_入力ページ'!AQ14</x:f>
        <x:v>6007.800000000001</x:v>
      </x:c>
      <x:c r="AR8" s="40" t="n">
        <x:f>'01_入力ページ'!AR14</x:f>
        <x:v>2490.9</x:v>
      </x:c>
      <x:c r="AS8" s="40" t="n">
        <x:f>'01_入力ページ'!AS14</x:f>
        <x:v>2573.93</x:v>
      </x:c>
      <x:c r="AT8" s="40" t="n">
        <x:f>'01_入力ページ'!AT14</x:f>
        <x:v>2490.9</x:v>
      </x:c>
      <x:c r="AU8" s="40" t="n">
        <x:f>'01_入力ページ'!AU14</x:f>
        <x:v>6007.800000000001</x:v>
      </x:c>
      <x:c r="AV8" s="40" t="n">
        <x:f>'01_入力ページ'!AV14</x:f>
        <x:v>8935.13</x:v>
      </x:c>
      <x:c r="AW8" s="40" t="n">
        <x:f>'01_入力ページ'!AW14</x:f>
        <x:v>8070.439999999999</x:v>
      </x:c>
      <x:c r="AX8" s="40" t="n">
        <x:f>'01_入力ページ'!AX14</x:f>
        <x:v>3386.75</x:v>
      </x:c>
      <x:c r="AY8" s="40" t="n">
        <x:f>'01_入力ページ'!AY14</x:f>
        <x:v>2490.9</x:v>
      </x:c>
      <x:c r="AZ8" s="40" t="n">
        <x:f>'01_入力ページ'!AZ14</x:f>
        <x:v>2573.93</x:v>
      </x:c>
      <x:c r="BA8" s="40" t="n">
        <x:f>'01_入力ページ'!BA14</x:f>
        <x:v>2490.9</x:v>
      </x:c>
      <x:c r="BB8" s="40" t="n">
        <x:f>'01_入力ページ'!BB14</x:f>
        <x:v>6007.800000000001</x:v>
      </x:c>
      <x:c r="BC8" s="40" t="n">
        <x:f>'01_入力ページ'!BC14</x:f>
        <x:v>6007.800000000001</x:v>
      </x:c>
      <x:c r="BD8" s="40" t="n">
        <x:f>'01_入力ページ'!BD14</x:f>
        <x:v>2490.9</x:v>
      </x:c>
      <x:c r="BE8" s="40" t="n">
        <x:f>'01_入力ページ'!BE14</x:f>
        <x:v>2573.93</x:v>
      </x:c>
      <x:c r="BF8" s="40" t="n">
        <x:f>'01_入力ページ'!BF14</x:f>
        <x:v>2490.9</x:v>
      </x:c>
      <x:c r="BG8" s="40" t="n">
        <x:f>'01_入力ページ'!BG14</x:f>
        <x:v>6007.800000000001</x:v>
      </x:c>
      <x:c r="BH8" s="40" t="n">
        <x:f>'01_入力ページ'!BH14</x:f>
        <x:v>8935.13</x:v>
      </x:c>
      <x:c r="BI8" s="40" t="n">
        <x:f>'01_入力ページ'!BI14</x:f>
        <x:v>8070.439999999999</x:v>
      </x:c>
      <x:c r="BJ8" s="40" t="n">
        <x:f>'01_入力ページ'!BJ14</x:f>
        <x:v>3386.75</x:v>
      </x:c>
    </x:row>
    <x:row r="9">
      <x:c r="A9" s="12" t="str">
        <x:v>運営費</x:v>
      </x:c>
      <x:c r="B9" s="12" t="str">
        <x:v>OTA手数料</x:v>
      </x:c>
      <x:c r="C9" s="40" t="n">
        <x:f>'01_入力ページ'!C25</x:f>
        <x:v>298.908</x:v>
      </x:c>
      <x:c r="D9" s="40" t="n">
        <x:f>'01_入力ページ'!D25</x:f>
        <x:v>308.87159999999994</x:v>
      </x:c>
      <x:c r="E9" s="40" t="n">
        <x:f>'01_入力ページ'!E25</x:f>
        <x:v>298.908</x:v>
      </x:c>
      <x:c r="F9" s="40" t="n">
        <x:f>'01_入力ページ'!F25</x:f>
        <x:v>720.9360000000001</x:v>
      </x:c>
      <x:c r="G9" s="40" t="n">
        <x:f>'01_入力ページ'!G25</x:f>
        <x:v>720.9360000000001</x:v>
      </x:c>
      <x:c r="H9" s="40" t="n">
        <x:f>'01_入力ページ'!H25</x:f>
        <x:v>298.908</x:v>
      </x:c>
      <x:c r="I9" s="40" t="n">
        <x:f>'01_入力ページ'!I25</x:f>
        <x:v>308.87159999999994</x:v>
      </x:c>
      <x:c r="J9" s="40" t="n">
        <x:f>'01_入力ページ'!J25</x:f>
        <x:v>298.908</x:v>
      </x:c>
      <x:c r="K9" s="40" t="n">
        <x:f>'01_入力ページ'!K25</x:f>
        <x:v>720.9360000000001</x:v>
      </x:c>
      <x:c r="L9" s="40" t="n">
        <x:f>'01_入力ページ'!L25</x:f>
        <x:v>1072.2155999999998</x:v>
      </x:c>
      <x:c r="M9" s="40" t="n">
        <x:f>'01_入力ページ'!M25</x:f>
        <x:v>968.4527999999998</x:v>
      </x:c>
      <x:c r="N9" s="40" t="n">
        <x:f>'01_入力ページ'!N25</x:f>
        <x:v>406.40999999999997</x:v>
      </x:c>
      <x:c r="O9" s="40" t="n">
        <x:f>'01_入力ページ'!O25</x:f>
        <x:v>298.908</x:v>
      </x:c>
      <x:c r="P9" s="40" t="n">
        <x:f>'01_入力ページ'!P25</x:f>
        <x:v>308.87159999999994</x:v>
      </x:c>
      <x:c r="Q9" s="40" t="n">
        <x:f>'01_入力ページ'!Q25</x:f>
        <x:v>298.908</x:v>
      </x:c>
      <x:c r="R9" s="40" t="n">
        <x:f>'01_入力ページ'!R25</x:f>
        <x:v>720.9360000000001</x:v>
      </x:c>
      <x:c r="S9" s="40" t="n">
        <x:f>'01_入力ページ'!S25</x:f>
        <x:v>720.9360000000001</x:v>
      </x:c>
      <x:c r="T9" s="40" t="n">
        <x:f>'01_入力ページ'!T25</x:f>
        <x:v>298.908</x:v>
      </x:c>
      <x:c r="U9" s="40" t="n">
        <x:f>'01_入力ページ'!U25</x:f>
        <x:v>308.87159999999994</x:v>
      </x:c>
      <x:c r="V9" s="40" t="n">
        <x:f>'01_入力ページ'!V25</x:f>
        <x:v>298.908</x:v>
      </x:c>
      <x:c r="W9" s="40" t="n">
        <x:f>'01_入力ページ'!W25</x:f>
        <x:v>720.9360000000001</x:v>
      </x:c>
      <x:c r="X9" s="40" t="n">
        <x:f>'01_入力ページ'!X25</x:f>
        <x:v>1072.2155999999998</x:v>
      </x:c>
      <x:c r="Y9" s="40" t="n">
        <x:f>'01_入力ページ'!Y25</x:f>
        <x:v>1003.0404</x:v>
      </x:c>
      <x:c r="Z9" s="40" t="n">
        <x:f>'01_入力ページ'!Z25</x:f>
        <x:v>406.40999999999997</x:v>
      </x:c>
      <x:c r="AA9" s="40" t="n">
        <x:f>'01_入力ページ'!AA25</x:f>
        <x:v>298.908</x:v>
      </x:c>
      <x:c r="AB9" s="40" t="n">
        <x:f>'01_入力ページ'!AB25</x:f>
        <x:v>308.87159999999994</x:v>
      </x:c>
      <x:c r="AC9" s="40" t="n">
        <x:f>'01_入力ページ'!AC25</x:f>
        <x:v>298.908</x:v>
      </x:c>
      <x:c r="AD9" s="40" t="n">
        <x:f>'01_入力ページ'!AD25</x:f>
        <x:v>720.9360000000001</x:v>
      </x:c>
      <x:c r="AE9" s="40" t="n">
        <x:f>'01_入力ページ'!AE25</x:f>
        <x:v>720.9360000000001</x:v>
      </x:c>
      <x:c r="AF9" s="40" t="n">
        <x:f>'01_入力ページ'!AF25</x:f>
        <x:v>298.908</x:v>
      </x:c>
      <x:c r="AG9" s="40" t="n">
        <x:f>'01_入力ページ'!AG25</x:f>
        <x:v>308.87159999999994</x:v>
      </x:c>
      <x:c r="AH9" s="40" t="n">
        <x:f>'01_入力ページ'!AH25</x:f>
        <x:v>298.908</x:v>
      </x:c>
      <x:c r="AI9" s="40" t="n">
        <x:f>'01_入力ページ'!AI25</x:f>
        <x:v>720.9360000000001</x:v>
      </x:c>
      <x:c r="AJ9" s="40" t="n">
        <x:f>'01_入力ページ'!AJ25</x:f>
        <x:v>1072.2155999999998</x:v>
      </x:c>
      <x:c r="AK9" s="40" t="n">
        <x:f>'01_入力ページ'!AK25</x:f>
        <x:v>968.4527999999998</x:v>
      </x:c>
      <x:c r="AL9" s="40" t="n">
        <x:f>'01_入力ページ'!AL25</x:f>
        <x:v>406.40999999999997</x:v>
      </x:c>
      <x:c r="AM9" s="40" t="n">
        <x:f>'01_入力ページ'!AM25</x:f>
        <x:v>298.908</x:v>
      </x:c>
      <x:c r="AN9" s="40" t="n">
        <x:f>'01_入力ページ'!AN25</x:f>
        <x:v>308.87159999999994</x:v>
      </x:c>
      <x:c r="AO9" s="40" t="n">
        <x:f>'01_入力ページ'!AO25</x:f>
        <x:v>298.908</x:v>
      </x:c>
      <x:c r="AP9" s="40" t="n">
        <x:f>'01_入力ページ'!AP25</x:f>
        <x:v>720.9360000000001</x:v>
      </x:c>
      <x:c r="AQ9" s="40" t="n">
        <x:f>'01_入力ページ'!AQ25</x:f>
        <x:v>720.9360000000001</x:v>
      </x:c>
      <x:c r="AR9" s="40" t="n">
        <x:f>'01_入力ページ'!AR25</x:f>
        <x:v>298.908</x:v>
      </x:c>
      <x:c r="AS9" s="40" t="n">
        <x:f>'01_入力ページ'!AS25</x:f>
        <x:v>308.87159999999994</x:v>
      </x:c>
      <x:c r="AT9" s="40" t="n">
        <x:f>'01_入力ページ'!AT25</x:f>
        <x:v>298.908</x:v>
      </x:c>
      <x:c r="AU9" s="40" t="n">
        <x:f>'01_入力ページ'!AU25</x:f>
        <x:v>720.9360000000001</x:v>
      </x:c>
      <x:c r="AV9" s="40" t="n">
        <x:f>'01_入力ページ'!AV25</x:f>
        <x:v>1072.2155999999998</x:v>
      </x:c>
      <x:c r="AW9" s="40" t="n">
        <x:f>'01_入力ページ'!AW25</x:f>
        <x:v>968.4527999999998</x:v>
      </x:c>
      <x:c r="AX9" s="40" t="n">
        <x:f>'01_入力ページ'!AX25</x:f>
        <x:v>406.40999999999997</x:v>
      </x:c>
      <x:c r="AY9" s="40" t="n">
        <x:f>'01_入力ページ'!AY25</x:f>
        <x:v>298.908</x:v>
      </x:c>
      <x:c r="AZ9" s="40" t="n">
        <x:f>'01_入力ページ'!AZ25</x:f>
        <x:v>308.87159999999994</x:v>
      </x:c>
      <x:c r="BA9" s="40" t="n">
        <x:f>'01_入力ページ'!BA25</x:f>
        <x:v>298.908</x:v>
      </x:c>
      <x:c r="BB9" s="40" t="n">
        <x:f>'01_入力ページ'!BB25</x:f>
        <x:v>720.9360000000001</x:v>
      </x:c>
      <x:c r="BC9" s="40" t="n">
        <x:f>'01_入力ページ'!BC25</x:f>
        <x:v>720.9360000000001</x:v>
      </x:c>
      <x:c r="BD9" s="40" t="n">
        <x:f>'01_入力ページ'!BD25</x:f>
        <x:v>298.908</x:v>
      </x:c>
      <x:c r="BE9" s="40" t="n">
        <x:f>'01_入力ページ'!BE25</x:f>
        <x:v>308.87159999999994</x:v>
      </x:c>
      <x:c r="BF9" s="40" t="n">
        <x:f>'01_入力ページ'!BF25</x:f>
        <x:v>298.908</x:v>
      </x:c>
      <x:c r="BG9" s="40" t="n">
        <x:f>'01_入力ページ'!BG25</x:f>
        <x:v>720.9360000000001</x:v>
      </x:c>
      <x:c r="BH9" s="40" t="n">
        <x:f>'01_入力ページ'!BH25</x:f>
        <x:v>1072.2155999999998</x:v>
      </x:c>
      <x:c r="BI9" s="40" t="n">
        <x:f>'01_入力ページ'!BI25</x:f>
        <x:v>968.4527999999998</x:v>
      </x:c>
      <x:c r="BJ9" s="40" t="n">
        <x:f>'01_入力ページ'!BJ25</x:f>
        <x:v>406.40999999999997</x:v>
      </x:c>
    </x:row>
    <x:row r="10">
      <x:c r="A10" s="12" t="str">
        <x:v>運営費</x:v>
      </x:c>
      <x:c r="B10" s="12" t="str">
        <x:v>リネン費</x:v>
      </x:c>
      <x:c r="C10" s="40" t="n">
        <x:f>'01_入力ページ'!C26</x:f>
        <x:v>259.91999999999996</x:v>
      </x:c>
      <x:c r="D10" s="40" t="n">
        <x:f>'01_入力ページ'!D26</x:f>
        <x:v>268.584</x:v>
      </x:c>
      <x:c r="E10" s="40" t="n">
        <x:f>'01_入力ページ'!E26</x:f>
        <x:v>259.91999999999996</x:v>
      </x:c>
      <x:c r="F10" s="40" t="n">
        <x:f>'01_入力ページ'!F26</x:f>
        <x:v>480.624</x:v>
      </x:c>
      <x:c r="G10" s="40" t="n">
        <x:f>'01_入力ページ'!G26</x:f>
        <x:v>480.624</x:v>
      </x:c>
      <x:c r="H10" s="40" t="n">
        <x:f>'01_入力ページ'!H26</x:f>
        <x:v>259.91999999999996</x:v>
      </x:c>
      <x:c r="I10" s="40" t="n">
        <x:f>'01_入力ページ'!I26</x:f>
        <x:v>268.584</x:v>
      </x:c>
      <x:c r="J10" s="40" t="n">
        <x:f>'01_入力ページ'!J26</x:f>
        <x:v>259.91999999999996</x:v>
      </x:c>
      <x:c r="K10" s="40" t="n">
        <x:f>'01_入力ページ'!K26</x:f>
        <x:v>480.624</x:v>
      </x:c>
      <x:c r="L10" s="40" t="n">
        <x:f>'01_入力ページ'!L26</x:f>
        <x:v>579.5759999999999</x:v>
      </x:c>
      <x:c r="M10" s="40" t="n">
        <x:f>'01_入力ページ'!M26</x:f>
        <x:v>523.4879999999999</x:v>
      </x:c>
      <x:c r="N10" s="40" t="n">
        <x:f>'01_入力ページ'!N26</x:f>
        <x:v>353.4</x:v>
      </x:c>
      <x:c r="O10" s="40" t="n">
        <x:f>'01_入力ページ'!O26</x:f>
        <x:v>259.91999999999996</x:v>
      </x:c>
      <x:c r="P10" s="40" t="n">
        <x:f>'01_入力ページ'!P26</x:f>
        <x:v>268.584</x:v>
      </x:c>
      <x:c r="Q10" s="40" t="n">
        <x:f>'01_入力ページ'!Q26</x:f>
        <x:v>259.91999999999996</x:v>
      </x:c>
      <x:c r="R10" s="40" t="n">
        <x:f>'01_入力ページ'!R26</x:f>
        <x:v>480.624</x:v>
      </x:c>
      <x:c r="S10" s="40" t="n">
        <x:f>'01_入力ページ'!S26</x:f>
        <x:v>480.624</x:v>
      </x:c>
      <x:c r="T10" s="40" t="n">
        <x:f>'01_入力ページ'!T26</x:f>
        <x:v>259.91999999999996</x:v>
      </x:c>
      <x:c r="U10" s="40" t="n">
        <x:f>'01_入力ページ'!U26</x:f>
        <x:v>268.584</x:v>
      </x:c>
      <x:c r="V10" s="40" t="n">
        <x:f>'01_入力ページ'!V26</x:f>
        <x:v>259.91999999999996</x:v>
      </x:c>
      <x:c r="W10" s="40" t="n">
        <x:f>'01_入力ページ'!W26</x:f>
        <x:v>480.624</x:v>
      </x:c>
      <x:c r="X10" s="40" t="n">
        <x:f>'01_入力ページ'!X26</x:f>
        <x:v>579.5759999999999</x:v>
      </x:c>
      <x:c r="Y10" s="40" t="n">
        <x:f>'01_入力ページ'!Y26</x:f>
        <x:v>542.184</x:v>
      </x:c>
      <x:c r="Z10" s="40" t="n">
        <x:f>'01_入力ページ'!Z26</x:f>
        <x:v>353.4</x:v>
      </x:c>
      <x:c r="AA10" s="40" t="n">
        <x:f>'01_入力ページ'!AA26</x:f>
        <x:v>259.91999999999996</x:v>
      </x:c>
      <x:c r="AB10" s="40" t="n">
        <x:f>'01_入力ページ'!AB26</x:f>
        <x:v>268.584</x:v>
      </x:c>
      <x:c r="AC10" s="40" t="n">
        <x:f>'01_入力ページ'!AC26</x:f>
        <x:v>259.91999999999996</x:v>
      </x:c>
      <x:c r="AD10" s="40" t="n">
        <x:f>'01_入力ページ'!AD26</x:f>
        <x:v>480.624</x:v>
      </x:c>
      <x:c r="AE10" s="40" t="n">
        <x:f>'01_入力ページ'!AE26</x:f>
        <x:v>480.624</x:v>
      </x:c>
      <x:c r="AF10" s="40" t="n">
        <x:f>'01_入力ページ'!AF26</x:f>
        <x:v>259.91999999999996</x:v>
      </x:c>
      <x:c r="AG10" s="40" t="n">
        <x:f>'01_入力ページ'!AG26</x:f>
        <x:v>268.584</x:v>
      </x:c>
      <x:c r="AH10" s="40" t="n">
        <x:f>'01_入力ページ'!AH26</x:f>
        <x:v>259.91999999999996</x:v>
      </x:c>
      <x:c r="AI10" s="40" t="n">
        <x:f>'01_入力ページ'!AI26</x:f>
        <x:v>480.624</x:v>
      </x:c>
      <x:c r="AJ10" s="40" t="n">
        <x:f>'01_入力ページ'!AJ26</x:f>
        <x:v>579.5759999999999</x:v>
      </x:c>
      <x:c r="AK10" s="40" t="n">
        <x:f>'01_入力ページ'!AK26</x:f>
        <x:v>523.4879999999999</x:v>
      </x:c>
      <x:c r="AL10" s="40" t="n">
        <x:f>'01_入力ページ'!AL26</x:f>
        <x:v>353.4</x:v>
      </x:c>
      <x:c r="AM10" s="40" t="n">
        <x:f>'01_入力ページ'!AM26</x:f>
        <x:v>259.91999999999996</x:v>
      </x:c>
      <x:c r="AN10" s="40" t="n">
        <x:f>'01_入力ページ'!AN26</x:f>
        <x:v>268.584</x:v>
      </x:c>
      <x:c r="AO10" s="40" t="n">
        <x:f>'01_入力ページ'!AO26</x:f>
        <x:v>259.91999999999996</x:v>
      </x:c>
      <x:c r="AP10" s="40" t="n">
        <x:f>'01_入力ページ'!AP26</x:f>
        <x:v>480.624</x:v>
      </x:c>
      <x:c r="AQ10" s="40" t="n">
        <x:f>'01_入力ページ'!AQ26</x:f>
        <x:v>480.624</x:v>
      </x:c>
      <x:c r="AR10" s="40" t="n">
        <x:f>'01_入力ページ'!AR26</x:f>
        <x:v>259.91999999999996</x:v>
      </x:c>
      <x:c r="AS10" s="40" t="n">
        <x:f>'01_入力ページ'!AS26</x:f>
        <x:v>268.584</x:v>
      </x:c>
      <x:c r="AT10" s="40" t="n">
        <x:f>'01_入力ページ'!AT26</x:f>
        <x:v>259.91999999999996</x:v>
      </x:c>
      <x:c r="AU10" s="40" t="n">
        <x:f>'01_入力ページ'!AU26</x:f>
        <x:v>480.624</x:v>
      </x:c>
      <x:c r="AV10" s="40" t="n">
        <x:f>'01_入力ページ'!AV26</x:f>
        <x:v>579.5759999999999</x:v>
      </x:c>
      <x:c r="AW10" s="40" t="n">
        <x:f>'01_入力ページ'!AW26</x:f>
        <x:v>523.4879999999999</x:v>
      </x:c>
      <x:c r="AX10" s="40" t="n">
        <x:f>'01_入力ページ'!AX26</x:f>
        <x:v>353.4</x:v>
      </x:c>
      <x:c r="AY10" s="40" t="n">
        <x:f>'01_入力ページ'!AY26</x:f>
        <x:v>259.91999999999996</x:v>
      </x:c>
      <x:c r="AZ10" s="40" t="n">
        <x:f>'01_入力ページ'!AZ26</x:f>
        <x:v>268.584</x:v>
      </x:c>
      <x:c r="BA10" s="40" t="n">
        <x:f>'01_入力ページ'!BA26</x:f>
        <x:v>259.91999999999996</x:v>
      </x:c>
      <x:c r="BB10" s="40" t="n">
        <x:f>'01_入力ページ'!BB26</x:f>
        <x:v>480.624</x:v>
      </x:c>
      <x:c r="BC10" s="40" t="n">
        <x:f>'01_入力ページ'!BC26</x:f>
        <x:v>480.624</x:v>
      </x:c>
      <x:c r="BD10" s="40" t="n">
        <x:f>'01_入力ページ'!BD26</x:f>
        <x:v>259.91999999999996</x:v>
      </x:c>
      <x:c r="BE10" s="40" t="n">
        <x:f>'01_入力ページ'!BE26</x:f>
        <x:v>268.584</x:v>
      </x:c>
      <x:c r="BF10" s="40" t="n">
        <x:f>'01_入力ページ'!BF26</x:f>
        <x:v>259.91999999999996</x:v>
      </x:c>
      <x:c r="BG10" s="40" t="n">
        <x:f>'01_入力ページ'!BG26</x:f>
        <x:v>480.624</x:v>
      </x:c>
      <x:c r="BH10" s="40" t="n">
        <x:f>'01_入力ページ'!BH26</x:f>
        <x:v>579.5759999999999</x:v>
      </x:c>
      <x:c r="BI10" s="40" t="n">
        <x:f>'01_入力ページ'!BI26</x:f>
        <x:v>523.4879999999999</x:v>
      </x:c>
      <x:c r="BJ10" s="40" t="n">
        <x:f>'01_入力ページ'!BJ26</x:f>
        <x:v>353.4</x:v>
      </x:c>
    </x:row>
    <x:row r="11">
      <x:c r="A11" s="12" t="str">
        <x:v>運営費</x:v>
      </x:c>
      <x:c r="B11" s="12" t="str">
        <x:v>水道光熱費</x:v>
      </x:c>
      <x:c r="C11" s="40" t="n">
        <x:f>'01_入力ページ'!C27</x:f>
        <x:v>199.27200000000002</x:v>
      </x:c>
      <x:c r="D11" s="40" t="n">
        <x:f>'01_入力ページ'!D27</x:f>
        <x:v>205.9144</x:v>
      </x:c>
      <x:c r="E11" s="40" t="n">
        <x:f>'01_入力ページ'!E27</x:f>
        <x:v>199.27200000000002</x:v>
      </x:c>
      <x:c r="F11" s="40" t="n">
        <x:f>'01_入力ページ'!F27</x:f>
        <x:v>480.6240000000001</x:v>
      </x:c>
      <x:c r="G11" s="40" t="n">
        <x:f>'01_入力ページ'!G27</x:f>
        <x:v>480.6240000000001</x:v>
      </x:c>
      <x:c r="H11" s="40" t="n">
        <x:f>'01_入力ページ'!H27</x:f>
        <x:v>199.27200000000002</x:v>
      </x:c>
      <x:c r="I11" s="40" t="n">
        <x:f>'01_入力ページ'!I27</x:f>
        <x:v>205.9144</x:v>
      </x:c>
      <x:c r="J11" s="40" t="n">
        <x:f>'01_入力ページ'!J27</x:f>
        <x:v>199.27200000000002</x:v>
      </x:c>
      <x:c r="K11" s="40" t="n">
        <x:f>'01_入力ページ'!K27</x:f>
        <x:v>480.6240000000001</x:v>
      </x:c>
      <x:c r="L11" s="40" t="n">
        <x:f>'01_入力ページ'!L27</x:f>
        <x:v>714.8104</x:v>
      </x:c>
      <x:c r="M11" s="40" t="n">
        <x:f>'01_入力ページ'!M27</x:f>
        <x:v>645.6351999999999</x:v>
      </x:c>
      <x:c r="N11" s="40" t="n">
        <x:f>'01_入力ページ'!N27</x:f>
        <x:v>270.94</x:v>
      </x:c>
      <x:c r="O11" s="40" t="n">
        <x:f>'01_入力ページ'!O27</x:f>
        <x:v>199.27200000000002</x:v>
      </x:c>
      <x:c r="P11" s="40" t="n">
        <x:f>'01_入力ページ'!P27</x:f>
        <x:v>205.9144</x:v>
      </x:c>
      <x:c r="Q11" s="40" t="n">
        <x:f>'01_入力ページ'!Q27</x:f>
        <x:v>199.27200000000002</x:v>
      </x:c>
      <x:c r="R11" s="40" t="n">
        <x:f>'01_入力ページ'!R27</x:f>
        <x:v>480.6240000000001</x:v>
      </x:c>
      <x:c r="S11" s="40" t="n">
        <x:f>'01_入力ページ'!S27</x:f>
        <x:v>480.6240000000001</x:v>
      </x:c>
      <x:c r="T11" s="40" t="n">
        <x:f>'01_入力ページ'!T27</x:f>
        <x:v>199.27200000000002</x:v>
      </x:c>
      <x:c r="U11" s="40" t="n">
        <x:f>'01_入力ページ'!U27</x:f>
        <x:v>205.9144</x:v>
      </x:c>
      <x:c r="V11" s="40" t="n">
        <x:f>'01_入力ページ'!V27</x:f>
        <x:v>199.27200000000002</x:v>
      </x:c>
      <x:c r="W11" s="40" t="n">
        <x:f>'01_入力ページ'!W27</x:f>
        <x:v>480.6240000000001</x:v>
      </x:c>
      <x:c r="X11" s="40" t="n">
        <x:f>'01_入力ページ'!X27</x:f>
        <x:v>714.8104</x:v>
      </x:c>
      <x:c r="Y11" s="40" t="n">
        <x:f>'01_入力ページ'!Y27</x:f>
        <x:v>668.6936000000001</x:v>
      </x:c>
      <x:c r="Z11" s="40" t="n">
        <x:f>'01_入力ページ'!Z27</x:f>
        <x:v>270.94</x:v>
      </x:c>
      <x:c r="AA11" s="40" t="n">
        <x:f>'01_入力ページ'!AA27</x:f>
        <x:v>199.27200000000002</x:v>
      </x:c>
      <x:c r="AB11" s="40" t="n">
        <x:f>'01_入力ページ'!AB27</x:f>
        <x:v>205.9144</x:v>
      </x:c>
      <x:c r="AC11" s="40" t="n">
        <x:f>'01_入力ページ'!AC27</x:f>
        <x:v>199.27200000000002</x:v>
      </x:c>
      <x:c r="AD11" s="40" t="n">
        <x:f>'01_入力ページ'!AD27</x:f>
        <x:v>480.6240000000001</x:v>
      </x:c>
      <x:c r="AE11" s="40" t="n">
        <x:f>'01_入力ページ'!AE27</x:f>
        <x:v>480.6240000000001</x:v>
      </x:c>
      <x:c r="AF11" s="40" t="n">
        <x:f>'01_入力ページ'!AF27</x:f>
        <x:v>199.27200000000002</x:v>
      </x:c>
      <x:c r="AG11" s="40" t="n">
        <x:f>'01_入力ページ'!AG27</x:f>
        <x:v>205.9144</x:v>
      </x:c>
      <x:c r="AH11" s="40" t="n">
        <x:f>'01_入力ページ'!AH27</x:f>
        <x:v>199.27200000000002</x:v>
      </x:c>
      <x:c r="AI11" s="40" t="n">
        <x:f>'01_入力ページ'!AI27</x:f>
        <x:v>480.6240000000001</x:v>
      </x:c>
      <x:c r="AJ11" s="40" t="n">
        <x:f>'01_入力ページ'!AJ27</x:f>
        <x:v>714.8104</x:v>
      </x:c>
      <x:c r="AK11" s="40" t="n">
        <x:f>'01_入力ページ'!AK27</x:f>
        <x:v>645.6351999999999</x:v>
      </x:c>
      <x:c r="AL11" s="40" t="n">
        <x:f>'01_入力ページ'!AL27</x:f>
        <x:v>270.94</x:v>
      </x:c>
      <x:c r="AM11" s="40" t="n">
        <x:f>'01_入力ページ'!AM27</x:f>
        <x:v>199.27200000000002</x:v>
      </x:c>
      <x:c r="AN11" s="40" t="n">
        <x:f>'01_入力ページ'!AN27</x:f>
        <x:v>205.9144</x:v>
      </x:c>
      <x:c r="AO11" s="40" t="n">
        <x:f>'01_入力ページ'!AO27</x:f>
        <x:v>199.27200000000002</x:v>
      </x:c>
      <x:c r="AP11" s="40" t="n">
        <x:f>'01_入力ページ'!AP27</x:f>
        <x:v>480.6240000000001</x:v>
      </x:c>
      <x:c r="AQ11" s="40" t="n">
        <x:f>'01_入力ページ'!AQ27</x:f>
        <x:v>480.6240000000001</x:v>
      </x:c>
      <x:c r="AR11" s="40" t="n">
        <x:f>'01_入力ページ'!AR27</x:f>
        <x:v>199.27200000000002</x:v>
      </x:c>
      <x:c r="AS11" s="40" t="n">
        <x:f>'01_入力ページ'!AS27</x:f>
        <x:v>205.9144</x:v>
      </x:c>
      <x:c r="AT11" s="40" t="n">
        <x:f>'01_入力ページ'!AT27</x:f>
        <x:v>199.27200000000002</x:v>
      </x:c>
      <x:c r="AU11" s="40" t="n">
        <x:f>'01_入力ページ'!AU27</x:f>
        <x:v>480.6240000000001</x:v>
      </x:c>
      <x:c r="AV11" s="40" t="n">
        <x:f>'01_入力ページ'!AV27</x:f>
        <x:v>714.8104</x:v>
      </x:c>
      <x:c r="AW11" s="40" t="n">
        <x:f>'01_入力ページ'!AW27</x:f>
        <x:v>645.6351999999999</x:v>
      </x:c>
      <x:c r="AX11" s="40" t="n">
        <x:f>'01_入力ページ'!AX27</x:f>
        <x:v>270.94</x:v>
      </x:c>
      <x:c r="AY11" s="40" t="n">
        <x:f>'01_入力ページ'!AY27</x:f>
        <x:v>199.27200000000002</x:v>
      </x:c>
      <x:c r="AZ11" s="40" t="n">
        <x:f>'01_入力ページ'!AZ27</x:f>
        <x:v>205.9144</x:v>
      </x:c>
      <x:c r="BA11" s="40" t="n">
        <x:f>'01_入力ページ'!BA27</x:f>
        <x:v>199.27200000000002</x:v>
      </x:c>
      <x:c r="BB11" s="40" t="n">
        <x:f>'01_入力ページ'!BB27</x:f>
        <x:v>480.6240000000001</x:v>
      </x:c>
      <x:c r="BC11" s="40" t="n">
        <x:f>'01_入力ページ'!BC27</x:f>
        <x:v>480.6240000000001</x:v>
      </x:c>
      <x:c r="BD11" s="40" t="n">
        <x:f>'01_入力ページ'!BD27</x:f>
        <x:v>199.27200000000002</x:v>
      </x:c>
      <x:c r="BE11" s="40" t="n">
        <x:f>'01_入力ページ'!BE27</x:f>
        <x:v>205.9144</x:v>
      </x:c>
      <x:c r="BF11" s="40" t="n">
        <x:f>'01_入力ページ'!BF27</x:f>
        <x:v>199.27200000000002</x:v>
      </x:c>
      <x:c r="BG11" s="40" t="n">
        <x:f>'01_入力ページ'!BG27</x:f>
        <x:v>480.6240000000001</x:v>
      </x:c>
      <x:c r="BH11" s="40" t="n">
        <x:f>'01_入力ページ'!BH27</x:f>
        <x:v>714.8104</x:v>
      </x:c>
      <x:c r="BI11" s="40" t="n">
        <x:f>'01_入力ページ'!BI27</x:f>
        <x:v>645.6351999999999</x:v>
      </x:c>
      <x:c r="BJ11" s="40" t="n">
        <x:f>'01_入力ページ'!BJ27</x:f>
        <x:v>270.94</x:v>
      </x:c>
    </x:row>
    <x:row r="12">
      <x:c r="A12" s="12" t="str">
        <x:v>運営費</x:v>
      </x:c>
      <x:c r="B12" s="12" t="str">
        <x:v>消耗品費</x:v>
      </x:c>
      <x:c r="C12" s="40" t="n">
        <x:f>'01_入力ページ'!C28</x:f>
        <x:v>74.727</x:v>
      </x:c>
      <x:c r="D12" s="40" t="n">
        <x:f>'01_入力ページ'!D28</x:f>
        <x:v>77.21789999999999</x:v>
      </x:c>
      <x:c r="E12" s="40" t="n">
        <x:f>'01_入力ページ'!E28</x:f>
        <x:v>74.727</x:v>
      </x:c>
      <x:c r="F12" s="40" t="n">
        <x:f>'01_入力ページ'!F28</x:f>
        <x:v>180.23400000000004</x:v>
      </x:c>
      <x:c r="G12" s="40" t="n">
        <x:f>'01_入力ページ'!G28</x:f>
        <x:v>180.23400000000004</x:v>
      </x:c>
      <x:c r="H12" s="40" t="n">
        <x:f>'01_入力ページ'!H28</x:f>
        <x:v>74.727</x:v>
      </x:c>
      <x:c r="I12" s="40" t="n">
        <x:f>'01_入力ページ'!I28</x:f>
        <x:v>77.21789999999999</x:v>
      </x:c>
      <x:c r="J12" s="40" t="n">
        <x:f>'01_入力ページ'!J28</x:f>
        <x:v>74.727</x:v>
      </x:c>
      <x:c r="K12" s="40" t="n">
        <x:f>'01_入力ページ'!K28</x:f>
        <x:v>180.23400000000004</x:v>
      </x:c>
      <x:c r="L12" s="40" t="n">
        <x:f>'01_入力ページ'!L28</x:f>
        <x:v>268.05389999999994</x:v>
      </x:c>
      <x:c r="M12" s="40" t="n">
        <x:f>'01_入力ページ'!M28</x:f>
        <x:v>242.11319999999995</x:v>
      </x:c>
      <x:c r="N12" s="40" t="n">
        <x:f>'01_入力ページ'!N28</x:f>
        <x:v>101.60249999999999</x:v>
      </x:c>
      <x:c r="O12" s="40" t="n">
        <x:f>'01_入力ページ'!O28</x:f>
        <x:v>74.727</x:v>
      </x:c>
      <x:c r="P12" s="40" t="n">
        <x:f>'01_入力ページ'!P28</x:f>
        <x:v>77.21789999999999</x:v>
      </x:c>
      <x:c r="Q12" s="40" t="n">
        <x:f>'01_入力ページ'!Q28</x:f>
        <x:v>74.727</x:v>
      </x:c>
      <x:c r="R12" s="40" t="n">
        <x:f>'01_入力ページ'!R28</x:f>
        <x:v>180.23400000000004</x:v>
      </x:c>
      <x:c r="S12" s="40" t="n">
        <x:f>'01_入力ページ'!S28</x:f>
        <x:v>180.23400000000004</x:v>
      </x:c>
      <x:c r="T12" s="40" t="n">
        <x:f>'01_入力ページ'!T28</x:f>
        <x:v>74.727</x:v>
      </x:c>
      <x:c r="U12" s="40" t="n">
        <x:f>'01_入力ページ'!U28</x:f>
        <x:v>77.21789999999999</x:v>
      </x:c>
      <x:c r="V12" s="40" t="n">
        <x:f>'01_入力ページ'!V28</x:f>
        <x:v>74.727</x:v>
      </x:c>
      <x:c r="W12" s="40" t="n">
        <x:f>'01_入力ページ'!W28</x:f>
        <x:v>180.23400000000004</x:v>
      </x:c>
      <x:c r="X12" s="40" t="n">
        <x:f>'01_入力ページ'!X28</x:f>
        <x:v>268.05389999999994</x:v>
      </x:c>
      <x:c r="Y12" s="40" t="n">
        <x:f>'01_入力ページ'!Y28</x:f>
        <x:v>250.7601</x:v>
      </x:c>
      <x:c r="Z12" s="40" t="n">
        <x:f>'01_入力ページ'!Z28</x:f>
        <x:v>101.60249999999999</x:v>
      </x:c>
      <x:c r="AA12" s="40" t="n">
        <x:f>'01_入力ページ'!AA28</x:f>
        <x:v>74.727</x:v>
      </x:c>
      <x:c r="AB12" s="40" t="n">
        <x:f>'01_入力ページ'!AB28</x:f>
        <x:v>77.21789999999999</x:v>
      </x:c>
      <x:c r="AC12" s="40" t="n">
        <x:f>'01_入力ページ'!AC28</x:f>
        <x:v>74.727</x:v>
      </x:c>
      <x:c r="AD12" s="40" t="n">
        <x:f>'01_入力ページ'!AD28</x:f>
        <x:v>180.23400000000004</x:v>
      </x:c>
      <x:c r="AE12" s="40" t="n">
        <x:f>'01_入力ページ'!AE28</x:f>
        <x:v>180.23400000000004</x:v>
      </x:c>
      <x:c r="AF12" s="40" t="n">
        <x:f>'01_入力ページ'!AF28</x:f>
        <x:v>74.727</x:v>
      </x:c>
      <x:c r="AG12" s="40" t="n">
        <x:f>'01_入力ページ'!AG28</x:f>
        <x:v>77.21789999999999</x:v>
      </x:c>
      <x:c r="AH12" s="40" t="n">
        <x:f>'01_入力ページ'!AH28</x:f>
        <x:v>74.727</x:v>
      </x:c>
      <x:c r="AI12" s="40" t="n">
        <x:f>'01_入力ページ'!AI28</x:f>
        <x:v>180.23400000000004</x:v>
      </x:c>
      <x:c r="AJ12" s="40" t="n">
        <x:f>'01_入力ページ'!AJ28</x:f>
        <x:v>268.05389999999994</x:v>
      </x:c>
      <x:c r="AK12" s="40" t="n">
        <x:f>'01_入力ページ'!AK28</x:f>
        <x:v>242.11319999999995</x:v>
      </x:c>
      <x:c r="AL12" s="40" t="n">
        <x:f>'01_入力ページ'!AL28</x:f>
        <x:v>101.60249999999999</x:v>
      </x:c>
      <x:c r="AM12" s="40" t="n">
        <x:f>'01_入力ページ'!AM28</x:f>
        <x:v>74.727</x:v>
      </x:c>
      <x:c r="AN12" s="40" t="n">
        <x:f>'01_入力ページ'!AN28</x:f>
        <x:v>77.21789999999999</x:v>
      </x:c>
      <x:c r="AO12" s="40" t="n">
        <x:f>'01_入力ページ'!AO28</x:f>
        <x:v>74.727</x:v>
      </x:c>
      <x:c r="AP12" s="40" t="n">
        <x:f>'01_入力ページ'!AP28</x:f>
        <x:v>180.23400000000004</x:v>
      </x:c>
      <x:c r="AQ12" s="40" t="n">
        <x:f>'01_入力ページ'!AQ28</x:f>
        <x:v>180.23400000000004</x:v>
      </x:c>
      <x:c r="AR12" s="40" t="n">
        <x:f>'01_入力ページ'!AR28</x:f>
        <x:v>74.727</x:v>
      </x:c>
      <x:c r="AS12" s="40" t="n">
        <x:f>'01_入力ページ'!AS28</x:f>
        <x:v>77.21789999999999</x:v>
      </x:c>
      <x:c r="AT12" s="40" t="n">
        <x:f>'01_入力ページ'!AT28</x:f>
        <x:v>74.727</x:v>
      </x:c>
      <x:c r="AU12" s="40" t="n">
        <x:f>'01_入力ページ'!AU28</x:f>
        <x:v>180.23400000000004</x:v>
      </x:c>
      <x:c r="AV12" s="40" t="n">
        <x:f>'01_入力ページ'!AV28</x:f>
        <x:v>268.05389999999994</x:v>
      </x:c>
      <x:c r="AW12" s="40" t="n">
        <x:f>'01_入力ページ'!AW28</x:f>
        <x:v>242.11319999999995</x:v>
      </x:c>
      <x:c r="AX12" s="40" t="n">
        <x:f>'01_入力ページ'!AX28</x:f>
        <x:v>101.60249999999999</x:v>
      </x:c>
      <x:c r="AY12" s="40" t="n">
        <x:f>'01_入力ページ'!AY28</x:f>
        <x:v>74.727</x:v>
      </x:c>
      <x:c r="AZ12" s="40" t="n">
        <x:f>'01_入力ページ'!AZ28</x:f>
        <x:v>77.21789999999999</x:v>
      </x:c>
      <x:c r="BA12" s="40" t="n">
        <x:f>'01_入力ページ'!BA28</x:f>
        <x:v>74.727</x:v>
      </x:c>
      <x:c r="BB12" s="40" t="n">
        <x:f>'01_入力ページ'!BB28</x:f>
        <x:v>180.23400000000004</x:v>
      </x:c>
      <x:c r="BC12" s="40" t="n">
        <x:f>'01_入力ページ'!BC28</x:f>
        <x:v>180.23400000000004</x:v>
      </x:c>
      <x:c r="BD12" s="40" t="n">
        <x:f>'01_入力ページ'!BD28</x:f>
        <x:v>74.727</x:v>
      </x:c>
      <x:c r="BE12" s="40" t="n">
        <x:f>'01_入力ページ'!BE28</x:f>
        <x:v>77.21789999999999</x:v>
      </x:c>
      <x:c r="BF12" s="40" t="n">
        <x:f>'01_入力ページ'!BF28</x:f>
        <x:v>74.727</x:v>
      </x:c>
      <x:c r="BG12" s="40" t="n">
        <x:f>'01_入力ページ'!BG28</x:f>
        <x:v>180.23400000000004</x:v>
      </x:c>
      <x:c r="BH12" s="40" t="n">
        <x:f>'01_入力ページ'!BH28</x:f>
        <x:v>268.05389999999994</x:v>
      </x:c>
      <x:c r="BI12" s="40" t="n">
        <x:f>'01_入力ページ'!BI28</x:f>
        <x:v>242.11319999999995</x:v>
      </x:c>
      <x:c r="BJ12" s="40" t="n">
        <x:f>'01_入力ページ'!BJ28</x:f>
        <x:v>101.60249999999999</x:v>
      </x:c>
    </x:row>
    <x:row r="13">
      <x:c r="A13" s="12" t="str">
        <x:v>運営費</x:v>
      </x:c>
      <x:c r="B13" s="12" t="str">
        <x:v>修繕費</x:v>
      </x:c>
      <x:c r="C13" s="40" t="n">
        <x:f>'01_入力ページ'!C29</x:f>
        <x:v>49.818000000000005</x:v>
      </x:c>
      <x:c r="D13" s="40" t="n">
        <x:f>'01_入力ページ'!D29</x:f>
        <x:v>51.4786</x:v>
      </x:c>
      <x:c r="E13" s="40" t="n">
        <x:f>'01_入力ページ'!E29</x:f>
        <x:v>49.818000000000005</x:v>
      </x:c>
      <x:c r="F13" s="40" t="n">
        <x:f>'01_入力ページ'!F29</x:f>
        <x:v>120.15600000000002</x:v>
      </x:c>
      <x:c r="G13" s="40" t="n">
        <x:f>'01_入力ページ'!G29</x:f>
        <x:v>120.15600000000002</x:v>
      </x:c>
      <x:c r="H13" s="40" t="n">
        <x:f>'01_入力ページ'!H29</x:f>
        <x:v>49.818000000000005</x:v>
      </x:c>
      <x:c r="I13" s="40" t="n">
        <x:f>'01_入力ページ'!I29</x:f>
        <x:v>51.4786</x:v>
      </x:c>
      <x:c r="J13" s="40" t="n">
        <x:f>'01_入力ページ'!J29</x:f>
        <x:v>49.818000000000005</x:v>
      </x:c>
      <x:c r="K13" s="40" t="n">
        <x:f>'01_入力ページ'!K29</x:f>
        <x:v>120.15600000000002</x:v>
      </x:c>
      <x:c r="L13" s="40" t="n">
        <x:f>'01_入力ページ'!L29</x:f>
        <x:v>178.7026</x:v>
      </x:c>
      <x:c r="M13" s="40" t="n">
        <x:f>'01_入力ページ'!M29</x:f>
        <x:v>161.40879999999999</x:v>
      </x:c>
      <x:c r="N13" s="40" t="n">
        <x:f>'01_入力ページ'!N29</x:f>
        <x:v>67.735</x:v>
      </x:c>
      <x:c r="O13" s="40" t="n">
        <x:f>'01_入力ページ'!O29</x:f>
        <x:v>49.818000000000005</x:v>
      </x:c>
      <x:c r="P13" s="40" t="n">
        <x:f>'01_入力ページ'!P29</x:f>
        <x:v>51.4786</x:v>
      </x:c>
      <x:c r="Q13" s="40" t="n">
        <x:f>'01_入力ページ'!Q29</x:f>
        <x:v>49.818000000000005</x:v>
      </x:c>
      <x:c r="R13" s="40" t="n">
        <x:f>'01_入力ページ'!R29</x:f>
        <x:v>120.15600000000002</x:v>
      </x:c>
      <x:c r="S13" s="40" t="n">
        <x:f>'01_入力ページ'!S29</x:f>
        <x:v>120.15600000000002</x:v>
      </x:c>
      <x:c r="T13" s="40" t="n">
        <x:f>'01_入力ページ'!T29</x:f>
        <x:v>49.818000000000005</x:v>
      </x:c>
      <x:c r="U13" s="40" t="n">
        <x:f>'01_入力ページ'!U29</x:f>
        <x:v>51.4786</x:v>
      </x:c>
      <x:c r="V13" s="40" t="n">
        <x:f>'01_入力ページ'!V29</x:f>
        <x:v>49.818000000000005</x:v>
      </x:c>
      <x:c r="W13" s="40" t="n">
        <x:f>'01_入力ページ'!W29</x:f>
        <x:v>120.15600000000002</x:v>
      </x:c>
      <x:c r="X13" s="40" t="n">
        <x:f>'01_入力ページ'!X29</x:f>
        <x:v>178.7026</x:v>
      </x:c>
      <x:c r="Y13" s="40" t="n">
        <x:f>'01_入力ページ'!Y29</x:f>
        <x:v>167.17340000000002</x:v>
      </x:c>
      <x:c r="Z13" s="40" t="n">
        <x:f>'01_入力ページ'!Z29</x:f>
        <x:v>67.735</x:v>
      </x:c>
      <x:c r="AA13" s="40" t="n">
        <x:f>'01_入力ページ'!AA29</x:f>
        <x:v>49.818000000000005</x:v>
      </x:c>
      <x:c r="AB13" s="40" t="n">
        <x:f>'01_入力ページ'!AB29</x:f>
        <x:v>51.4786</x:v>
      </x:c>
      <x:c r="AC13" s="40" t="n">
        <x:f>'01_入力ページ'!AC29</x:f>
        <x:v>49.818000000000005</x:v>
      </x:c>
      <x:c r="AD13" s="40" t="n">
        <x:f>'01_入力ページ'!AD29</x:f>
        <x:v>120.15600000000002</x:v>
      </x:c>
      <x:c r="AE13" s="40" t="n">
        <x:f>'01_入力ページ'!AE29</x:f>
        <x:v>120.15600000000002</x:v>
      </x:c>
      <x:c r="AF13" s="40" t="n">
        <x:f>'01_入力ページ'!AF29</x:f>
        <x:v>49.818000000000005</x:v>
      </x:c>
      <x:c r="AG13" s="40" t="n">
        <x:f>'01_入力ページ'!AG29</x:f>
        <x:v>51.4786</x:v>
      </x:c>
      <x:c r="AH13" s="40" t="n">
        <x:f>'01_入力ページ'!AH29</x:f>
        <x:v>49.818000000000005</x:v>
      </x:c>
      <x:c r="AI13" s="40" t="n">
        <x:f>'01_入力ページ'!AI29</x:f>
        <x:v>120.15600000000002</x:v>
      </x:c>
      <x:c r="AJ13" s="40" t="n">
        <x:f>'01_入力ページ'!AJ29</x:f>
        <x:v>178.7026</x:v>
      </x:c>
      <x:c r="AK13" s="40" t="n">
        <x:f>'01_入力ページ'!AK29</x:f>
        <x:v>161.40879999999999</x:v>
      </x:c>
      <x:c r="AL13" s="40" t="n">
        <x:f>'01_入力ページ'!AL29</x:f>
        <x:v>67.735</x:v>
      </x:c>
      <x:c r="AM13" s="40" t="n">
        <x:f>'01_入力ページ'!AM29</x:f>
        <x:v>49.818000000000005</x:v>
      </x:c>
      <x:c r="AN13" s="40" t="n">
        <x:f>'01_入力ページ'!AN29</x:f>
        <x:v>51.4786</x:v>
      </x:c>
      <x:c r="AO13" s="40" t="n">
        <x:f>'01_入力ページ'!AO29</x:f>
        <x:v>49.818000000000005</x:v>
      </x:c>
      <x:c r="AP13" s="40" t="n">
        <x:f>'01_入力ページ'!AP29</x:f>
        <x:v>120.15600000000002</x:v>
      </x:c>
      <x:c r="AQ13" s="40" t="n">
        <x:f>'01_入力ページ'!AQ29</x:f>
        <x:v>120.15600000000002</x:v>
      </x:c>
      <x:c r="AR13" s="40" t="n">
        <x:f>'01_入力ページ'!AR29</x:f>
        <x:v>49.818000000000005</x:v>
      </x:c>
      <x:c r="AS13" s="40" t="n">
        <x:f>'01_入力ページ'!AS29</x:f>
        <x:v>51.4786</x:v>
      </x:c>
      <x:c r="AT13" s="40" t="n">
        <x:f>'01_入力ページ'!AT29</x:f>
        <x:v>49.818000000000005</x:v>
      </x:c>
      <x:c r="AU13" s="40" t="n">
        <x:f>'01_入力ページ'!AU29</x:f>
        <x:v>120.15600000000002</x:v>
      </x:c>
      <x:c r="AV13" s="40" t="n">
        <x:f>'01_入力ページ'!AV29</x:f>
        <x:v>178.7026</x:v>
      </x:c>
      <x:c r="AW13" s="40" t="n">
        <x:f>'01_入力ページ'!AW29</x:f>
        <x:v>161.40879999999999</x:v>
      </x:c>
      <x:c r="AX13" s="40" t="n">
        <x:f>'01_入力ページ'!AX29</x:f>
        <x:v>67.735</x:v>
      </x:c>
      <x:c r="AY13" s="40" t="n">
        <x:f>'01_入力ページ'!AY29</x:f>
        <x:v>49.818000000000005</x:v>
      </x:c>
      <x:c r="AZ13" s="40" t="n">
        <x:f>'01_入力ページ'!AZ29</x:f>
        <x:v>51.4786</x:v>
      </x:c>
      <x:c r="BA13" s="40" t="n">
        <x:f>'01_入力ページ'!BA29</x:f>
        <x:v>49.818000000000005</x:v>
      </x:c>
      <x:c r="BB13" s="40" t="n">
        <x:f>'01_入力ページ'!BB29</x:f>
        <x:v>120.15600000000002</x:v>
      </x:c>
      <x:c r="BC13" s="40" t="n">
        <x:f>'01_入力ページ'!BC29</x:f>
        <x:v>120.15600000000002</x:v>
      </x:c>
      <x:c r="BD13" s="40" t="n">
        <x:f>'01_入力ページ'!BD29</x:f>
        <x:v>49.818000000000005</x:v>
      </x:c>
      <x:c r="BE13" s="40" t="n">
        <x:f>'01_入力ページ'!BE29</x:f>
        <x:v>51.4786</x:v>
      </x:c>
      <x:c r="BF13" s="40" t="n">
        <x:f>'01_入力ページ'!BF29</x:f>
        <x:v>49.818000000000005</x:v>
      </x:c>
      <x:c r="BG13" s="40" t="n">
        <x:f>'01_入力ページ'!BG29</x:f>
        <x:v>120.15600000000002</x:v>
      </x:c>
      <x:c r="BH13" s="40" t="n">
        <x:f>'01_入力ページ'!BH29</x:f>
        <x:v>178.7026</x:v>
      </x:c>
      <x:c r="BI13" s="40" t="n">
        <x:f>'01_入力ページ'!BI29</x:f>
        <x:v>161.40879999999999</x:v>
      </x:c>
      <x:c r="BJ13" s="40" t="n">
        <x:f>'01_入力ページ'!BJ29</x:f>
        <x:v>67.735</x:v>
      </x:c>
    </x:row>
    <x:row r="14">
      <x:c r="A14" s="12" t="str">
        <x:v>運営費</x:v>
      </x:c>
      <x:c r="B14" s="12" t="str">
        <x:v>その他変動費</x:v>
      </x:c>
      <x:c r="C14" s="40" t="n">
        <x:f>'01_入力ページ'!C30</x:f>
        <x:v>0</x:v>
      </x:c>
      <x:c r="D14" s="40" t="n">
        <x:f>'01_入力ページ'!D30</x:f>
        <x:v>0</x:v>
      </x:c>
      <x:c r="E14" s="40" t="n">
        <x:f>'01_入力ページ'!E30</x:f>
        <x:v>0</x:v>
      </x:c>
      <x:c r="F14" s="40" t="n">
        <x:f>'01_入力ページ'!F30</x:f>
        <x:v>0</x:v>
      </x:c>
      <x:c r="G14" s="40" t="n">
        <x:f>'01_入力ページ'!G30</x:f>
        <x:v>0</x:v>
      </x:c>
      <x:c r="H14" s="40" t="n">
        <x:f>'01_入力ページ'!H30</x:f>
        <x:v>0</x:v>
      </x:c>
      <x:c r="I14" s="40" t="n">
        <x:f>'01_入力ページ'!I30</x:f>
        <x:v>0</x:v>
      </x:c>
      <x:c r="J14" s="40" t="n">
        <x:f>'01_入力ページ'!J30</x:f>
        <x:v>0</x:v>
      </x:c>
      <x:c r="K14" s="40" t="n">
        <x:f>'01_入力ページ'!K30</x:f>
        <x:v>0</x:v>
      </x:c>
      <x:c r="L14" s="40" t="n">
        <x:f>'01_入力ページ'!L30</x:f>
        <x:v>0</x:v>
      </x:c>
      <x:c r="M14" s="40" t="n">
        <x:f>'01_入力ページ'!M30</x:f>
        <x:v>0</x:v>
      </x:c>
      <x:c r="N14" s="40" t="n">
        <x:f>'01_入力ページ'!N30</x:f>
        <x:v>0</x:v>
      </x:c>
      <x:c r="O14" s="40" t="n">
        <x:f>'01_入力ページ'!O30</x:f>
        <x:v>0</x:v>
      </x:c>
      <x:c r="P14" s="40" t="n">
        <x:f>'01_入力ページ'!P30</x:f>
        <x:v>0</x:v>
      </x:c>
      <x:c r="Q14" s="40" t="n">
        <x:f>'01_入力ページ'!Q30</x:f>
        <x:v>0</x:v>
      </x:c>
      <x:c r="R14" s="40" t="n">
        <x:f>'01_入力ページ'!R30</x:f>
        <x:v>0</x:v>
      </x:c>
      <x:c r="S14" s="40" t="n">
        <x:f>'01_入力ページ'!S30</x:f>
        <x:v>0</x:v>
      </x:c>
      <x:c r="T14" s="40" t="n">
        <x:f>'01_入力ページ'!T30</x:f>
        <x:v>0</x:v>
      </x:c>
      <x:c r="U14" s="40" t="n">
        <x:f>'01_入力ページ'!U30</x:f>
        <x:v>0</x:v>
      </x:c>
      <x:c r="V14" s="40" t="n">
        <x:f>'01_入力ページ'!V30</x:f>
        <x:v>0</x:v>
      </x:c>
      <x:c r="W14" s="40" t="n">
        <x:f>'01_入力ページ'!W30</x:f>
        <x:v>0</x:v>
      </x:c>
      <x:c r="X14" s="40" t="n">
        <x:f>'01_入力ページ'!X30</x:f>
        <x:v>0</x:v>
      </x:c>
      <x:c r="Y14" s="40" t="n">
        <x:f>'01_入力ページ'!Y30</x:f>
        <x:v>0</x:v>
      </x:c>
      <x:c r="Z14" s="40" t="n">
        <x:f>'01_入力ページ'!Z30</x:f>
        <x:v>0</x:v>
      </x:c>
      <x:c r="AA14" s="40" t="n">
        <x:f>'01_入力ページ'!AA30</x:f>
        <x:v>0</x:v>
      </x:c>
      <x:c r="AB14" s="40" t="n">
        <x:f>'01_入力ページ'!AB30</x:f>
        <x:v>0</x:v>
      </x:c>
      <x:c r="AC14" s="40" t="n">
        <x:f>'01_入力ページ'!AC30</x:f>
        <x:v>0</x:v>
      </x:c>
      <x:c r="AD14" s="40" t="n">
        <x:f>'01_入力ページ'!AD30</x:f>
        <x:v>0</x:v>
      </x:c>
      <x:c r="AE14" s="40" t="n">
        <x:f>'01_入力ページ'!AE30</x:f>
        <x:v>0</x:v>
      </x:c>
      <x:c r="AF14" s="40" t="n">
        <x:f>'01_入力ページ'!AF30</x:f>
        <x:v>0</x:v>
      </x:c>
      <x:c r="AG14" s="40" t="n">
        <x:f>'01_入力ページ'!AG30</x:f>
        <x:v>0</x:v>
      </x:c>
      <x:c r="AH14" s="40" t="n">
        <x:f>'01_入力ページ'!AH30</x:f>
        <x:v>0</x:v>
      </x:c>
      <x:c r="AI14" s="40" t="n">
        <x:f>'01_入力ページ'!AI30</x:f>
        <x:v>0</x:v>
      </x:c>
      <x:c r="AJ14" s="40" t="n">
        <x:f>'01_入力ページ'!AJ30</x:f>
        <x:v>0</x:v>
      </x:c>
      <x:c r="AK14" s="40" t="n">
        <x:f>'01_入力ページ'!AK30</x:f>
        <x:v>0</x:v>
      </x:c>
      <x:c r="AL14" s="40" t="n">
        <x:f>'01_入力ページ'!AL30</x:f>
        <x:v>0</x:v>
      </x:c>
      <x:c r="AM14" s="40" t="n">
        <x:f>'01_入力ページ'!AM30</x:f>
        <x:v>0</x:v>
      </x:c>
      <x:c r="AN14" s="40" t="n">
        <x:f>'01_入力ページ'!AN30</x:f>
        <x:v>0</x:v>
      </x:c>
      <x:c r="AO14" s="40" t="n">
        <x:f>'01_入力ページ'!AO30</x:f>
        <x:v>0</x:v>
      </x:c>
      <x:c r="AP14" s="40" t="n">
        <x:f>'01_入力ページ'!AP30</x:f>
        <x:v>0</x:v>
      </x:c>
      <x:c r="AQ14" s="40" t="n">
        <x:f>'01_入力ページ'!AQ30</x:f>
        <x:v>0</x:v>
      </x:c>
      <x:c r="AR14" s="40" t="n">
        <x:f>'01_入力ページ'!AR30</x:f>
        <x:v>0</x:v>
      </x:c>
      <x:c r="AS14" s="40" t="n">
        <x:f>'01_入力ページ'!AS30</x:f>
        <x:v>0</x:v>
      </x:c>
      <x:c r="AT14" s="40" t="n">
        <x:f>'01_入力ページ'!AT30</x:f>
        <x:v>0</x:v>
      </x:c>
      <x:c r="AU14" s="40" t="n">
        <x:f>'01_入力ページ'!AU30</x:f>
        <x:v>0</x:v>
      </x:c>
      <x:c r="AV14" s="40" t="n">
        <x:f>'01_入力ページ'!AV30</x:f>
        <x:v>0</x:v>
      </x:c>
      <x:c r="AW14" s="40" t="n">
        <x:f>'01_入力ページ'!AW30</x:f>
        <x:v>0</x:v>
      </x:c>
      <x:c r="AX14" s="40" t="n">
        <x:f>'01_入力ページ'!AX30</x:f>
        <x:v>0</x:v>
      </x:c>
      <x:c r="AY14" s="40" t="n">
        <x:f>'01_入力ページ'!AY30</x:f>
        <x:v>0</x:v>
      </x:c>
      <x:c r="AZ14" s="40" t="n">
        <x:f>'01_入力ページ'!AZ30</x:f>
        <x:v>0</x:v>
      </x:c>
      <x:c r="BA14" s="40" t="n">
        <x:f>'01_入力ページ'!BA30</x:f>
        <x:v>0</x:v>
      </x:c>
      <x:c r="BB14" s="40" t="n">
        <x:f>'01_入力ページ'!BB30</x:f>
        <x:v>0</x:v>
      </x:c>
      <x:c r="BC14" s="40" t="n">
        <x:f>'01_入力ページ'!BC30</x:f>
        <x:v>0</x:v>
      </x:c>
      <x:c r="BD14" s="40" t="n">
        <x:f>'01_入力ページ'!BD30</x:f>
        <x:v>0</x:v>
      </x:c>
      <x:c r="BE14" s="40" t="n">
        <x:f>'01_入力ページ'!BE30</x:f>
        <x:v>0</x:v>
      </x:c>
      <x:c r="BF14" s="40" t="n">
        <x:f>'01_入力ページ'!BF30</x:f>
        <x:v>0</x:v>
      </x:c>
      <x:c r="BG14" s="40" t="n">
        <x:f>'01_入力ページ'!BG30</x:f>
        <x:v>0</x:v>
      </x:c>
      <x:c r="BH14" s="40" t="n">
        <x:f>'01_入力ページ'!BH30</x:f>
        <x:v>0</x:v>
      </x:c>
      <x:c r="BI14" s="40" t="n">
        <x:f>'01_入力ページ'!BI30</x:f>
        <x:v>0</x:v>
      </x:c>
      <x:c r="BJ14" s="40" t="n">
        <x:f>'01_入力ページ'!BJ30</x:f>
        <x:v>0</x:v>
      </x:c>
    </x:row>
    <x:row r="15">
      <x:c r="A15" s="12" t="str">
        <x:v>運営費</x:v>
      </x:c>
      <x:c r="B15" s="12" t="str">
        <x:v>変動費合計</x:v>
      </x:c>
      <x:c r="C15" s="40" t="n">
        <x:f>'01_入力ページ'!C31</x:f>
        <x:v>882.645</x:v>
      </x:c>
      <x:c r="D15" s="40" t="n">
        <x:f>'01_入力ページ'!D31</x:f>
        <x:v>912.0665</x:v>
      </x:c>
      <x:c r="E15" s="40" t="n">
        <x:f>'01_入力ページ'!E31</x:f>
        <x:v>882.645</x:v>
      </x:c>
      <x:c r="F15" s="40" t="n">
        <x:f>'01_入力ページ'!F31</x:f>
        <x:v>1982.574</x:v>
      </x:c>
      <x:c r="G15" s="40" t="n">
        <x:f>'01_入力ページ'!G31</x:f>
        <x:v>1982.574</x:v>
      </x:c>
      <x:c r="H15" s="40" t="n">
        <x:f>'01_入力ページ'!H31</x:f>
        <x:v>882.645</x:v>
      </x:c>
      <x:c r="I15" s="40" t="n">
        <x:f>'01_入力ページ'!I31</x:f>
        <x:v>912.0665</x:v>
      </x:c>
      <x:c r="J15" s="40" t="n">
        <x:f>'01_入力ページ'!J31</x:f>
        <x:v>882.645</x:v>
      </x:c>
      <x:c r="K15" s="40" t="n">
        <x:f>'01_入力ページ'!K31</x:f>
        <x:v>1982.574</x:v>
      </x:c>
      <x:c r="L15" s="40" t="n">
        <x:f>'01_入力ページ'!L31</x:f>
        <x:v>2813.3584999999994</x:v>
      </x:c>
      <x:c r="M15" s="40" t="n">
        <x:f>'01_入力ページ'!M31</x:f>
        <x:v>2541.098</x:v>
      </x:c>
      <x:c r="N15" s="40" t="n">
        <x:f>'01_入力ページ'!N31</x:f>
        <x:v>1200.0874999999999</x:v>
      </x:c>
      <x:c r="O15" s="40" t="n">
        <x:f>'01_入力ページ'!O31</x:f>
        <x:v>882.645</x:v>
      </x:c>
      <x:c r="P15" s="40" t="n">
        <x:f>'01_入力ページ'!P31</x:f>
        <x:v>912.0665</x:v>
      </x:c>
      <x:c r="Q15" s="40" t="n">
        <x:f>'01_入力ページ'!Q31</x:f>
        <x:v>882.645</x:v>
      </x:c>
      <x:c r="R15" s="40" t="n">
        <x:f>'01_入力ページ'!R31</x:f>
        <x:v>1982.574</x:v>
      </x:c>
      <x:c r="S15" s="40" t="n">
        <x:f>'01_入力ページ'!S31</x:f>
        <x:v>1982.574</x:v>
      </x:c>
      <x:c r="T15" s="40" t="n">
        <x:f>'01_入力ページ'!T31</x:f>
        <x:v>882.645</x:v>
      </x:c>
      <x:c r="U15" s="40" t="n">
        <x:f>'01_入力ページ'!U31</x:f>
        <x:v>912.0665</x:v>
      </x:c>
      <x:c r="V15" s="40" t="n">
        <x:f>'01_入力ページ'!V31</x:f>
        <x:v>882.645</x:v>
      </x:c>
      <x:c r="W15" s="40" t="n">
        <x:f>'01_入力ページ'!W31</x:f>
        <x:v>1982.574</x:v>
      </x:c>
      <x:c r="X15" s="40" t="n">
        <x:f>'01_入力ページ'!X31</x:f>
        <x:v>2813.3584999999994</x:v>
      </x:c>
      <x:c r="Y15" s="40" t="n">
        <x:f>'01_入力ページ'!Y31</x:f>
        <x:v>2631.8515</x:v>
      </x:c>
      <x:c r="Z15" s="40" t="n">
        <x:f>'01_入力ページ'!Z31</x:f>
        <x:v>1200.0874999999999</x:v>
      </x:c>
      <x:c r="AA15" s="40" t="n">
        <x:f>'01_入力ページ'!AA31</x:f>
        <x:v>882.645</x:v>
      </x:c>
      <x:c r="AB15" s="40" t="n">
        <x:f>'01_入力ページ'!AB31</x:f>
        <x:v>912.0665</x:v>
      </x:c>
      <x:c r="AC15" s="40" t="n">
        <x:f>'01_入力ページ'!AC31</x:f>
        <x:v>882.645</x:v>
      </x:c>
      <x:c r="AD15" s="40" t="n">
        <x:f>'01_入力ページ'!AD31</x:f>
        <x:v>1982.574</x:v>
      </x:c>
      <x:c r="AE15" s="40" t="n">
        <x:f>'01_入力ページ'!AE31</x:f>
        <x:v>1982.574</x:v>
      </x:c>
      <x:c r="AF15" s="40" t="n">
        <x:f>'01_入力ページ'!AF31</x:f>
        <x:v>882.645</x:v>
      </x:c>
      <x:c r="AG15" s="40" t="n">
        <x:f>'01_入力ページ'!AG31</x:f>
        <x:v>912.0665</x:v>
      </x:c>
      <x:c r="AH15" s="40" t="n">
        <x:f>'01_入力ページ'!AH31</x:f>
        <x:v>882.645</x:v>
      </x:c>
      <x:c r="AI15" s="40" t="n">
        <x:f>'01_入力ページ'!AI31</x:f>
        <x:v>1982.574</x:v>
      </x:c>
      <x:c r="AJ15" s="40" t="n">
        <x:f>'01_入力ページ'!AJ31</x:f>
        <x:v>2813.3584999999994</x:v>
      </x:c>
      <x:c r="AK15" s="40" t="n">
        <x:f>'01_入力ページ'!AK31</x:f>
        <x:v>2541.098</x:v>
      </x:c>
      <x:c r="AL15" s="40" t="n">
        <x:f>'01_入力ページ'!AL31</x:f>
        <x:v>1200.0874999999999</x:v>
      </x:c>
      <x:c r="AM15" s="40" t="n">
        <x:f>'01_入力ページ'!AM31</x:f>
        <x:v>882.645</x:v>
      </x:c>
      <x:c r="AN15" s="40" t="n">
        <x:f>'01_入力ページ'!AN31</x:f>
        <x:v>912.0665</x:v>
      </x:c>
      <x:c r="AO15" s="40" t="n">
        <x:f>'01_入力ページ'!AO31</x:f>
        <x:v>882.645</x:v>
      </x:c>
      <x:c r="AP15" s="40" t="n">
        <x:f>'01_入力ページ'!AP31</x:f>
        <x:v>1982.574</x:v>
      </x:c>
      <x:c r="AQ15" s="40" t="n">
        <x:f>'01_入力ページ'!AQ31</x:f>
        <x:v>1982.574</x:v>
      </x:c>
      <x:c r="AR15" s="40" t="n">
        <x:f>'01_入力ページ'!AR31</x:f>
        <x:v>882.645</x:v>
      </x:c>
      <x:c r="AS15" s="40" t="n">
        <x:f>'01_入力ページ'!AS31</x:f>
        <x:v>912.0665</x:v>
      </x:c>
      <x:c r="AT15" s="40" t="n">
        <x:f>'01_入力ページ'!AT31</x:f>
        <x:v>882.645</x:v>
      </x:c>
      <x:c r="AU15" s="40" t="n">
        <x:f>'01_入力ページ'!AU31</x:f>
        <x:v>1982.574</x:v>
      </x:c>
      <x:c r="AV15" s="40" t="n">
        <x:f>'01_入力ページ'!AV31</x:f>
        <x:v>2813.3584999999994</x:v>
      </x:c>
      <x:c r="AW15" s="40" t="n">
        <x:f>'01_入力ページ'!AW31</x:f>
        <x:v>2541.098</x:v>
      </x:c>
      <x:c r="AX15" s="40" t="n">
        <x:f>'01_入力ページ'!AX31</x:f>
        <x:v>1200.0874999999999</x:v>
      </x:c>
      <x:c r="AY15" s="40" t="n">
        <x:f>'01_入力ページ'!AY31</x:f>
        <x:v>882.645</x:v>
      </x:c>
      <x:c r="AZ15" s="40" t="n">
        <x:f>'01_入力ページ'!AZ31</x:f>
        <x:v>912.0665</x:v>
      </x:c>
      <x:c r="BA15" s="40" t="n">
        <x:f>'01_入力ページ'!BA31</x:f>
        <x:v>882.645</x:v>
      </x:c>
      <x:c r="BB15" s="40" t="n">
        <x:f>'01_入力ページ'!BB31</x:f>
        <x:v>1982.574</x:v>
      </x:c>
      <x:c r="BC15" s="40" t="n">
        <x:f>'01_入力ページ'!BC31</x:f>
        <x:v>1982.574</x:v>
      </x:c>
      <x:c r="BD15" s="40" t="n">
        <x:f>'01_入力ページ'!BD31</x:f>
        <x:v>882.645</x:v>
      </x:c>
      <x:c r="BE15" s="40" t="n">
        <x:f>'01_入力ページ'!BE31</x:f>
        <x:v>912.0665</x:v>
      </x:c>
      <x:c r="BF15" s="40" t="n">
        <x:f>'01_入力ページ'!BF31</x:f>
        <x:v>882.645</x:v>
      </x:c>
      <x:c r="BG15" s="40" t="n">
        <x:f>'01_入力ページ'!BG31</x:f>
        <x:v>1982.574</x:v>
      </x:c>
      <x:c r="BH15" s="40" t="n">
        <x:f>'01_入力ページ'!BH31</x:f>
        <x:v>2813.3584999999994</x:v>
      </x:c>
      <x:c r="BI15" s="40" t="n">
        <x:f>'01_入力ページ'!BI31</x:f>
        <x:v>2541.098</x:v>
      </x:c>
      <x:c r="BJ15" s="40" t="n">
        <x:f>'01_入力ページ'!BJ31</x:f>
        <x:v>1200.0874999999999</x:v>
      </x:c>
    </x:row>
    <x:row r="16">
      <x:c r="A16" s="12" t="str">
        <x:v>人件費</x:v>
      </x:c>
      <x:c r="B16" s="12" t="str">
        <x:v>フロント人件費</x:v>
      </x:c>
      <x:c r="C16" s="40" t="n">
        <x:f>'01_入力ページ'!C18</x:f>
        <x:v>540</x:v>
      </x:c>
      <x:c r="D16" s="40" t="n">
        <x:f>'01_入力ページ'!D18</x:f>
        <x:v>558</x:v>
      </x:c>
      <x:c r="E16" s="40" t="n">
        <x:f>'01_入力ページ'!E18</x:f>
        <x:v>540</x:v>
      </x:c>
      <x:c r="F16" s="40" t="n">
        <x:f>'01_入力ページ'!F18</x:f>
        <x:v>558</x:v>
      </x:c>
      <x:c r="G16" s="40" t="n">
        <x:f>'01_入力ページ'!G18</x:f>
        <x:v>558</x:v>
      </x:c>
      <x:c r="H16" s="40" t="n">
        <x:f>'01_入力ページ'!H18</x:f>
        <x:v>540</x:v>
      </x:c>
      <x:c r="I16" s="40" t="n">
        <x:f>'01_入力ページ'!I18</x:f>
        <x:v>558</x:v>
      </x:c>
      <x:c r="J16" s="40" t="n">
        <x:f>'01_入力ページ'!J18</x:f>
        <x:v>540</x:v>
      </x:c>
      <x:c r="K16" s="40" t="n">
        <x:f>'01_入力ページ'!K18</x:f>
        <x:v>558</x:v>
      </x:c>
      <x:c r="L16" s="40" t="n">
        <x:f>'01_入力ページ'!L18</x:f>
        <x:v>558</x:v>
      </x:c>
      <x:c r="M16" s="40" t="n">
        <x:f>'01_入力ページ'!M18</x:f>
        <x:v>504</x:v>
      </x:c>
      <x:c r="N16" s="40" t="n">
        <x:f>'01_入力ページ'!N18</x:f>
        <x:v>558</x:v>
      </x:c>
      <x:c r="O16" s="40" t="n">
        <x:f>'01_入力ページ'!O18</x:f>
        <x:v>540</x:v>
      </x:c>
      <x:c r="P16" s="40" t="n">
        <x:f>'01_入力ページ'!P18</x:f>
        <x:v>558</x:v>
      </x:c>
      <x:c r="Q16" s="40" t="n">
        <x:f>'01_入力ページ'!Q18</x:f>
        <x:v>540</x:v>
      </x:c>
      <x:c r="R16" s="40" t="n">
        <x:f>'01_入力ページ'!R18</x:f>
        <x:v>558</x:v>
      </x:c>
      <x:c r="S16" s="40" t="n">
        <x:f>'01_入力ページ'!S18</x:f>
        <x:v>558</x:v>
      </x:c>
      <x:c r="T16" s="40" t="n">
        <x:f>'01_入力ページ'!T18</x:f>
        <x:v>540</x:v>
      </x:c>
      <x:c r="U16" s="40" t="n">
        <x:f>'01_入力ページ'!U18</x:f>
        <x:v>558</x:v>
      </x:c>
      <x:c r="V16" s="40" t="n">
        <x:f>'01_入力ページ'!V18</x:f>
        <x:v>540</x:v>
      </x:c>
      <x:c r="W16" s="40" t="n">
        <x:f>'01_入力ページ'!W18</x:f>
        <x:v>558</x:v>
      </x:c>
      <x:c r="X16" s="40" t="n">
        <x:f>'01_入力ページ'!X18</x:f>
        <x:v>558</x:v>
      </x:c>
      <x:c r="Y16" s="40" t="n">
        <x:f>'01_入力ページ'!Y18</x:f>
        <x:v>522</x:v>
      </x:c>
      <x:c r="Z16" s="40" t="n">
        <x:f>'01_入力ページ'!Z18</x:f>
        <x:v>558</x:v>
      </x:c>
      <x:c r="AA16" s="40" t="n">
        <x:f>'01_入力ページ'!AA18</x:f>
        <x:v>540</x:v>
      </x:c>
      <x:c r="AB16" s="40" t="n">
        <x:f>'01_入力ページ'!AB18</x:f>
        <x:v>558</x:v>
      </x:c>
      <x:c r="AC16" s="40" t="n">
        <x:f>'01_入力ページ'!AC18</x:f>
        <x:v>540</x:v>
      </x:c>
      <x:c r="AD16" s="40" t="n">
        <x:f>'01_入力ページ'!AD18</x:f>
        <x:v>558</x:v>
      </x:c>
      <x:c r="AE16" s="40" t="n">
        <x:f>'01_入力ページ'!AE18</x:f>
        <x:v>558</x:v>
      </x:c>
      <x:c r="AF16" s="40" t="n">
        <x:f>'01_入力ページ'!AF18</x:f>
        <x:v>540</x:v>
      </x:c>
      <x:c r="AG16" s="40" t="n">
        <x:f>'01_入力ページ'!AG18</x:f>
        <x:v>558</x:v>
      </x:c>
      <x:c r="AH16" s="40" t="n">
        <x:f>'01_入力ページ'!AH18</x:f>
        <x:v>540</x:v>
      </x:c>
      <x:c r="AI16" s="40" t="n">
        <x:f>'01_入力ページ'!AI18</x:f>
        <x:v>558</x:v>
      </x:c>
      <x:c r="AJ16" s="40" t="n">
        <x:f>'01_入力ページ'!AJ18</x:f>
        <x:v>558</x:v>
      </x:c>
      <x:c r="AK16" s="40" t="n">
        <x:f>'01_入力ページ'!AK18</x:f>
        <x:v>504</x:v>
      </x:c>
      <x:c r="AL16" s="40" t="n">
        <x:f>'01_入力ページ'!AL18</x:f>
        <x:v>558</x:v>
      </x:c>
      <x:c r="AM16" s="40" t="n">
        <x:f>'01_入力ページ'!AM18</x:f>
        <x:v>540</x:v>
      </x:c>
      <x:c r="AN16" s="40" t="n">
        <x:f>'01_入力ページ'!AN18</x:f>
        <x:v>558</x:v>
      </x:c>
      <x:c r="AO16" s="40" t="n">
        <x:f>'01_入力ページ'!AO18</x:f>
        <x:v>540</x:v>
      </x:c>
      <x:c r="AP16" s="40" t="n">
        <x:f>'01_入力ページ'!AP18</x:f>
        <x:v>558</x:v>
      </x:c>
      <x:c r="AQ16" s="40" t="n">
        <x:f>'01_入力ページ'!AQ18</x:f>
        <x:v>558</x:v>
      </x:c>
      <x:c r="AR16" s="40" t="n">
        <x:f>'01_入力ページ'!AR18</x:f>
        <x:v>540</x:v>
      </x:c>
      <x:c r="AS16" s="40" t="n">
        <x:f>'01_入力ページ'!AS18</x:f>
        <x:v>558</x:v>
      </x:c>
      <x:c r="AT16" s="40" t="n">
        <x:f>'01_入力ページ'!AT18</x:f>
        <x:v>540</x:v>
      </x:c>
      <x:c r="AU16" s="40" t="n">
        <x:f>'01_入力ページ'!AU18</x:f>
        <x:v>558</x:v>
      </x:c>
      <x:c r="AV16" s="40" t="n">
        <x:f>'01_入力ページ'!AV18</x:f>
        <x:v>558</x:v>
      </x:c>
      <x:c r="AW16" s="40" t="n">
        <x:f>'01_入力ページ'!AW18</x:f>
        <x:v>504</x:v>
      </x:c>
      <x:c r="AX16" s="40" t="n">
        <x:f>'01_入力ページ'!AX18</x:f>
        <x:v>558</x:v>
      </x:c>
      <x:c r="AY16" s="40" t="n">
        <x:f>'01_入力ページ'!AY18</x:f>
        <x:v>540</x:v>
      </x:c>
      <x:c r="AZ16" s="40" t="n">
        <x:f>'01_入力ページ'!AZ18</x:f>
        <x:v>558</x:v>
      </x:c>
      <x:c r="BA16" s="40" t="n">
        <x:f>'01_入力ページ'!BA18</x:f>
        <x:v>540</x:v>
      </x:c>
      <x:c r="BB16" s="40" t="n">
        <x:f>'01_入力ページ'!BB18</x:f>
        <x:v>558</x:v>
      </x:c>
      <x:c r="BC16" s="40" t="n">
        <x:f>'01_入力ページ'!BC18</x:f>
        <x:v>558</x:v>
      </x:c>
      <x:c r="BD16" s="40" t="n">
        <x:f>'01_入力ページ'!BD18</x:f>
        <x:v>540</x:v>
      </x:c>
      <x:c r="BE16" s="40" t="n">
        <x:f>'01_入力ページ'!BE18</x:f>
        <x:v>558</x:v>
      </x:c>
      <x:c r="BF16" s="40" t="n">
        <x:f>'01_入力ページ'!BF18</x:f>
        <x:v>540</x:v>
      </x:c>
      <x:c r="BG16" s="40" t="n">
        <x:f>'01_入力ページ'!BG18</x:f>
        <x:v>558</x:v>
      </x:c>
      <x:c r="BH16" s="40" t="n">
        <x:f>'01_入力ページ'!BH18</x:f>
        <x:v>558</x:v>
      </x:c>
      <x:c r="BI16" s="40" t="n">
        <x:f>'01_入力ページ'!BI18</x:f>
        <x:v>504</x:v>
      </x:c>
      <x:c r="BJ16" s="40" t="n">
        <x:f>'01_入力ページ'!BJ18</x:f>
        <x:v>558</x:v>
      </x:c>
    </x:row>
    <x:row r="17">
      <x:c r="A17" s="12" t="str">
        <x:v>人件費</x:v>
      </x:c>
      <x:c r="B17" s="12" t="str">
        <x:v>清掃人件費</x:v>
      </x:c>
      <x:c r="C17" s="40" t="n">
        <x:f>'01_入力ページ'!C22</x:f>
        <x:v>540</x:v>
      </x:c>
      <x:c r="D17" s="40" t="n">
        <x:f>'01_入力ページ'!D22</x:f>
        <x:v>558</x:v>
      </x:c>
      <x:c r="E17" s="40" t="n">
        <x:f>'01_入力ページ'!E22</x:f>
        <x:v>540</x:v>
      </x:c>
      <x:c r="F17" s="40" t="n">
        <x:f>'01_入力ページ'!F22</x:f>
        <x:v>558</x:v>
      </x:c>
      <x:c r="G17" s="40" t="n">
        <x:f>'01_入力ページ'!G22</x:f>
        <x:v>558</x:v>
      </x:c>
      <x:c r="H17" s="40" t="n">
        <x:f>'01_入力ページ'!H22</x:f>
        <x:v>540</x:v>
      </x:c>
      <x:c r="I17" s="40" t="n">
        <x:f>'01_入力ページ'!I22</x:f>
        <x:v>558</x:v>
      </x:c>
      <x:c r="J17" s="40" t="n">
        <x:f>'01_入力ページ'!J22</x:f>
        <x:v>540</x:v>
      </x:c>
      <x:c r="K17" s="40" t="n">
        <x:f>'01_入力ページ'!K22</x:f>
        <x:v>558</x:v>
      </x:c>
      <x:c r="L17" s="40" t="n">
        <x:f>'01_入力ページ'!L22</x:f>
        <x:v>558</x:v>
      </x:c>
      <x:c r="M17" s="40" t="n">
        <x:f>'01_入力ページ'!M22</x:f>
        <x:v>504</x:v>
      </x:c>
      <x:c r="N17" s="40" t="n">
        <x:f>'01_入力ページ'!N22</x:f>
        <x:v>558</x:v>
      </x:c>
      <x:c r="O17" s="40" t="n">
        <x:f>'01_入力ページ'!O22</x:f>
        <x:v>540</x:v>
      </x:c>
      <x:c r="P17" s="40" t="n">
        <x:f>'01_入力ページ'!P22</x:f>
        <x:v>558</x:v>
      </x:c>
      <x:c r="Q17" s="40" t="n">
        <x:f>'01_入力ページ'!Q22</x:f>
        <x:v>540</x:v>
      </x:c>
      <x:c r="R17" s="40" t="n">
        <x:f>'01_入力ページ'!R22</x:f>
        <x:v>558</x:v>
      </x:c>
      <x:c r="S17" s="40" t="n">
        <x:f>'01_入力ページ'!S22</x:f>
        <x:v>558</x:v>
      </x:c>
      <x:c r="T17" s="40" t="n">
        <x:f>'01_入力ページ'!T22</x:f>
        <x:v>540</x:v>
      </x:c>
      <x:c r="U17" s="40" t="n">
        <x:f>'01_入力ページ'!U22</x:f>
        <x:v>558</x:v>
      </x:c>
      <x:c r="V17" s="40" t="n">
        <x:f>'01_入力ページ'!V22</x:f>
        <x:v>540</x:v>
      </x:c>
      <x:c r="W17" s="40" t="n">
        <x:f>'01_入力ページ'!W22</x:f>
        <x:v>558</x:v>
      </x:c>
      <x:c r="X17" s="40" t="n">
        <x:f>'01_入力ページ'!X22</x:f>
        <x:v>558</x:v>
      </x:c>
      <x:c r="Y17" s="40" t="n">
        <x:f>'01_入力ページ'!Y22</x:f>
        <x:v>522</x:v>
      </x:c>
      <x:c r="Z17" s="40" t="n">
        <x:f>'01_入力ページ'!Z22</x:f>
        <x:v>558</x:v>
      </x:c>
      <x:c r="AA17" s="40" t="n">
        <x:f>'01_入力ページ'!AA22</x:f>
        <x:v>540</x:v>
      </x:c>
      <x:c r="AB17" s="40" t="n">
        <x:f>'01_入力ページ'!AB22</x:f>
        <x:v>558</x:v>
      </x:c>
      <x:c r="AC17" s="40" t="n">
        <x:f>'01_入力ページ'!AC22</x:f>
        <x:v>540</x:v>
      </x:c>
      <x:c r="AD17" s="40" t="n">
        <x:f>'01_入力ページ'!AD22</x:f>
        <x:v>558</x:v>
      </x:c>
      <x:c r="AE17" s="40" t="n">
        <x:f>'01_入力ページ'!AE22</x:f>
        <x:v>558</x:v>
      </x:c>
      <x:c r="AF17" s="40" t="n">
        <x:f>'01_入力ページ'!AF22</x:f>
        <x:v>540</x:v>
      </x:c>
      <x:c r="AG17" s="40" t="n">
        <x:f>'01_入力ページ'!AG22</x:f>
        <x:v>558</x:v>
      </x:c>
      <x:c r="AH17" s="40" t="n">
        <x:f>'01_入力ページ'!AH22</x:f>
        <x:v>540</x:v>
      </x:c>
      <x:c r="AI17" s="40" t="n">
        <x:f>'01_入力ページ'!AI22</x:f>
        <x:v>558</x:v>
      </x:c>
      <x:c r="AJ17" s="40" t="n">
        <x:f>'01_入力ページ'!AJ22</x:f>
        <x:v>558</x:v>
      </x:c>
      <x:c r="AK17" s="40" t="n">
        <x:f>'01_入力ページ'!AK22</x:f>
        <x:v>504</x:v>
      </x:c>
      <x:c r="AL17" s="40" t="n">
        <x:f>'01_入力ページ'!AL22</x:f>
        <x:v>558</x:v>
      </x:c>
      <x:c r="AM17" s="40" t="n">
        <x:f>'01_入力ページ'!AM22</x:f>
        <x:v>540</x:v>
      </x:c>
      <x:c r="AN17" s="40" t="n">
        <x:f>'01_入力ページ'!AN22</x:f>
        <x:v>558</x:v>
      </x:c>
      <x:c r="AO17" s="40" t="n">
        <x:f>'01_入力ページ'!AO22</x:f>
        <x:v>540</x:v>
      </x:c>
      <x:c r="AP17" s="40" t="n">
        <x:f>'01_入力ページ'!AP22</x:f>
        <x:v>558</x:v>
      </x:c>
      <x:c r="AQ17" s="40" t="n">
        <x:f>'01_入力ページ'!AQ22</x:f>
        <x:v>558</x:v>
      </x:c>
      <x:c r="AR17" s="40" t="n">
        <x:f>'01_入力ページ'!AR22</x:f>
        <x:v>540</x:v>
      </x:c>
      <x:c r="AS17" s="40" t="n">
        <x:f>'01_入力ページ'!AS22</x:f>
        <x:v>558</x:v>
      </x:c>
      <x:c r="AT17" s="40" t="n">
        <x:f>'01_入力ページ'!AT22</x:f>
        <x:v>540</x:v>
      </x:c>
      <x:c r="AU17" s="40" t="n">
        <x:f>'01_入力ページ'!AU22</x:f>
        <x:v>558</x:v>
      </x:c>
      <x:c r="AV17" s="40" t="n">
        <x:f>'01_入力ページ'!AV22</x:f>
        <x:v>558</x:v>
      </x:c>
      <x:c r="AW17" s="40" t="n">
        <x:f>'01_入力ページ'!AW22</x:f>
        <x:v>504</x:v>
      </x:c>
      <x:c r="AX17" s="40" t="n">
        <x:f>'01_入力ページ'!AX22</x:f>
        <x:v>558</x:v>
      </x:c>
      <x:c r="AY17" s="40" t="n">
        <x:f>'01_入力ページ'!AY22</x:f>
        <x:v>540</x:v>
      </x:c>
      <x:c r="AZ17" s="40" t="n">
        <x:f>'01_入力ページ'!AZ22</x:f>
        <x:v>558</x:v>
      </x:c>
      <x:c r="BA17" s="40" t="n">
        <x:f>'01_入力ページ'!BA22</x:f>
        <x:v>540</x:v>
      </x:c>
      <x:c r="BB17" s="40" t="n">
        <x:f>'01_入力ページ'!BB22</x:f>
        <x:v>558</x:v>
      </x:c>
      <x:c r="BC17" s="40" t="n">
        <x:f>'01_入力ページ'!BC22</x:f>
        <x:v>558</x:v>
      </x:c>
      <x:c r="BD17" s="40" t="n">
        <x:f>'01_入力ページ'!BD22</x:f>
        <x:v>540</x:v>
      </x:c>
      <x:c r="BE17" s="40" t="n">
        <x:f>'01_入力ページ'!BE22</x:f>
        <x:v>558</x:v>
      </x:c>
      <x:c r="BF17" s="40" t="n">
        <x:f>'01_入力ページ'!BF22</x:f>
        <x:v>540</x:v>
      </x:c>
      <x:c r="BG17" s="40" t="n">
        <x:f>'01_入力ページ'!BG22</x:f>
        <x:v>558</x:v>
      </x:c>
      <x:c r="BH17" s="40" t="n">
        <x:f>'01_入力ページ'!BH22</x:f>
        <x:v>558</x:v>
      </x:c>
      <x:c r="BI17" s="40" t="n">
        <x:f>'01_入力ページ'!BI22</x:f>
        <x:v>504</x:v>
      </x:c>
      <x:c r="BJ17" s="40" t="n">
        <x:f>'01_入力ページ'!BJ22</x:f>
        <x:v>558</x:v>
      </x:c>
    </x:row>
    <x:row r="18">
      <x:c r="A18" s="12" t="str">
        <x:v>人件費</x:v>
      </x:c>
      <x:c r="B18" s="12" t="str">
        <x:v>直接人件費合計</x:v>
      </x:c>
      <x:c r="C18" s="40" t="n">
        <x:f>'01_入力ページ'!C23</x:f>
        <x:v>1080</x:v>
      </x:c>
      <x:c r="D18" s="40" t="n">
        <x:f>'01_入力ページ'!D23</x:f>
        <x:v>1116</x:v>
      </x:c>
      <x:c r="E18" s="40" t="n">
        <x:f>'01_入力ページ'!E23</x:f>
        <x:v>1080</x:v>
      </x:c>
      <x:c r="F18" s="40" t="n">
        <x:f>'01_入力ページ'!F23</x:f>
        <x:v>1116</x:v>
      </x:c>
      <x:c r="G18" s="40" t="n">
        <x:f>'01_入力ページ'!G23</x:f>
        <x:v>1116</x:v>
      </x:c>
      <x:c r="H18" s="40" t="n">
        <x:f>'01_入力ページ'!H23</x:f>
        <x:v>1080</x:v>
      </x:c>
      <x:c r="I18" s="40" t="n">
        <x:f>'01_入力ページ'!I23</x:f>
        <x:v>1116</x:v>
      </x:c>
      <x:c r="J18" s="40" t="n">
        <x:f>'01_入力ページ'!J23</x:f>
        <x:v>1080</x:v>
      </x:c>
      <x:c r="K18" s="40" t="n">
        <x:f>'01_入力ページ'!K23</x:f>
        <x:v>1116</x:v>
      </x:c>
      <x:c r="L18" s="40" t="n">
        <x:f>'01_入力ページ'!L23</x:f>
        <x:v>1116</x:v>
      </x:c>
      <x:c r="M18" s="40" t="n">
        <x:f>'01_入力ページ'!M23</x:f>
        <x:v>1008</x:v>
      </x:c>
      <x:c r="N18" s="40" t="n">
        <x:f>'01_入力ページ'!N23</x:f>
        <x:v>1116</x:v>
      </x:c>
      <x:c r="O18" s="40" t="n">
        <x:f>'01_入力ページ'!O23</x:f>
        <x:v>1080</x:v>
      </x:c>
      <x:c r="P18" s="40" t="n">
        <x:f>'01_入力ページ'!P23</x:f>
        <x:v>1116</x:v>
      </x:c>
      <x:c r="Q18" s="40" t="n">
        <x:f>'01_入力ページ'!Q23</x:f>
        <x:v>1080</x:v>
      </x:c>
      <x:c r="R18" s="40" t="n">
        <x:f>'01_入力ページ'!R23</x:f>
        <x:v>1116</x:v>
      </x:c>
      <x:c r="S18" s="40" t="n">
        <x:f>'01_入力ページ'!S23</x:f>
        <x:v>1116</x:v>
      </x:c>
      <x:c r="T18" s="40" t="n">
        <x:f>'01_入力ページ'!T23</x:f>
        <x:v>1080</x:v>
      </x:c>
      <x:c r="U18" s="40" t="n">
        <x:f>'01_入力ページ'!U23</x:f>
        <x:v>1116</x:v>
      </x:c>
      <x:c r="V18" s="40" t="n">
        <x:f>'01_入力ページ'!V23</x:f>
        <x:v>1080</x:v>
      </x:c>
      <x:c r="W18" s="40" t="n">
        <x:f>'01_入力ページ'!W23</x:f>
        <x:v>1116</x:v>
      </x:c>
      <x:c r="X18" s="40" t="n">
        <x:f>'01_入力ページ'!X23</x:f>
        <x:v>1116</x:v>
      </x:c>
      <x:c r="Y18" s="40" t="n">
        <x:f>'01_入力ページ'!Y23</x:f>
        <x:v>1044</x:v>
      </x:c>
      <x:c r="Z18" s="40" t="n">
        <x:f>'01_入力ページ'!Z23</x:f>
        <x:v>1116</x:v>
      </x:c>
      <x:c r="AA18" s="40" t="n">
        <x:f>'01_入力ページ'!AA23</x:f>
        <x:v>1080</x:v>
      </x:c>
      <x:c r="AB18" s="40" t="n">
        <x:f>'01_入力ページ'!AB23</x:f>
        <x:v>1116</x:v>
      </x:c>
      <x:c r="AC18" s="40" t="n">
        <x:f>'01_入力ページ'!AC23</x:f>
        <x:v>1080</x:v>
      </x:c>
      <x:c r="AD18" s="40" t="n">
        <x:f>'01_入力ページ'!AD23</x:f>
        <x:v>1116</x:v>
      </x:c>
      <x:c r="AE18" s="40" t="n">
        <x:f>'01_入力ページ'!AE23</x:f>
        <x:v>1116</x:v>
      </x:c>
      <x:c r="AF18" s="40" t="n">
        <x:f>'01_入力ページ'!AF23</x:f>
        <x:v>1080</x:v>
      </x:c>
      <x:c r="AG18" s="40" t="n">
        <x:f>'01_入力ページ'!AG23</x:f>
        <x:v>1116</x:v>
      </x:c>
      <x:c r="AH18" s="40" t="n">
        <x:f>'01_入力ページ'!AH23</x:f>
        <x:v>1080</x:v>
      </x:c>
      <x:c r="AI18" s="40" t="n">
        <x:f>'01_入力ページ'!AI23</x:f>
        <x:v>1116</x:v>
      </x:c>
      <x:c r="AJ18" s="40" t="n">
        <x:f>'01_入力ページ'!AJ23</x:f>
        <x:v>1116</x:v>
      </x:c>
      <x:c r="AK18" s="40" t="n">
        <x:f>'01_入力ページ'!AK23</x:f>
        <x:v>1008</x:v>
      </x:c>
      <x:c r="AL18" s="40" t="n">
        <x:f>'01_入力ページ'!AL23</x:f>
        <x:v>1116</x:v>
      </x:c>
      <x:c r="AM18" s="40" t="n">
        <x:f>'01_入力ページ'!AM23</x:f>
        <x:v>1080</x:v>
      </x:c>
      <x:c r="AN18" s="40" t="n">
        <x:f>'01_入力ページ'!AN23</x:f>
        <x:v>1116</x:v>
      </x:c>
      <x:c r="AO18" s="40" t="n">
        <x:f>'01_入力ページ'!AO23</x:f>
        <x:v>1080</x:v>
      </x:c>
      <x:c r="AP18" s="40" t="n">
        <x:f>'01_入力ページ'!AP23</x:f>
        <x:v>1116</x:v>
      </x:c>
      <x:c r="AQ18" s="40" t="n">
        <x:f>'01_入力ページ'!AQ23</x:f>
        <x:v>1116</x:v>
      </x:c>
      <x:c r="AR18" s="40" t="n">
        <x:f>'01_入力ページ'!AR23</x:f>
        <x:v>1080</x:v>
      </x:c>
      <x:c r="AS18" s="40" t="n">
        <x:f>'01_入力ページ'!AS23</x:f>
        <x:v>1116</x:v>
      </x:c>
      <x:c r="AT18" s="40" t="n">
        <x:f>'01_入力ページ'!AT23</x:f>
        <x:v>1080</x:v>
      </x:c>
      <x:c r="AU18" s="40" t="n">
        <x:f>'01_入力ページ'!AU23</x:f>
        <x:v>1116</x:v>
      </x:c>
      <x:c r="AV18" s="40" t="n">
        <x:f>'01_入力ページ'!AV23</x:f>
        <x:v>1116</x:v>
      </x:c>
      <x:c r="AW18" s="40" t="n">
        <x:f>'01_入力ページ'!AW23</x:f>
        <x:v>1008</x:v>
      </x:c>
      <x:c r="AX18" s="40" t="n">
        <x:f>'01_入力ページ'!AX23</x:f>
        <x:v>1116</x:v>
      </x:c>
      <x:c r="AY18" s="40" t="n">
        <x:f>'01_入力ページ'!AY23</x:f>
        <x:v>1080</x:v>
      </x:c>
      <x:c r="AZ18" s="40" t="n">
        <x:f>'01_入力ページ'!AZ23</x:f>
        <x:v>1116</x:v>
      </x:c>
      <x:c r="BA18" s="40" t="n">
        <x:f>'01_入力ページ'!BA23</x:f>
        <x:v>1080</x:v>
      </x:c>
      <x:c r="BB18" s="40" t="n">
        <x:f>'01_入力ページ'!BB23</x:f>
        <x:v>1116</x:v>
      </x:c>
      <x:c r="BC18" s="40" t="n">
        <x:f>'01_入力ページ'!BC23</x:f>
        <x:v>1116</x:v>
      </x:c>
      <x:c r="BD18" s="40" t="n">
        <x:f>'01_入力ページ'!BD23</x:f>
        <x:v>1080</x:v>
      </x:c>
      <x:c r="BE18" s="40" t="n">
        <x:f>'01_入力ページ'!BE23</x:f>
        <x:v>1116</x:v>
      </x:c>
      <x:c r="BF18" s="40" t="n">
        <x:f>'01_入力ページ'!BF23</x:f>
        <x:v>1080</x:v>
      </x:c>
      <x:c r="BG18" s="40" t="n">
        <x:f>'01_入力ページ'!BG23</x:f>
        <x:v>1116</x:v>
      </x:c>
      <x:c r="BH18" s="40" t="n">
        <x:f>'01_入力ページ'!BH23</x:f>
        <x:v>1116</x:v>
      </x:c>
      <x:c r="BI18" s="40" t="n">
        <x:f>'01_入力ページ'!BI23</x:f>
        <x:v>1008</x:v>
      </x:c>
      <x:c r="BJ18" s="40" t="n">
        <x:f>'01_入力ページ'!BJ23</x:f>
        <x:v>1116</x:v>
      </x:c>
    </x:row>
    <x:row r="19">
      <x:c r="A19" s="12" t="str">
        <x:v>固定費</x:v>
      </x:c>
      <x:c r="B19" s="12" t="str">
        <x:v>地代家賃</x:v>
      </x:c>
      <x:c r="C19" s="40" t="n">
        <x:f>'01_入力ページ'!C32</x:f>
        <x:v>0</x:v>
      </x:c>
      <x:c r="D19" s="40" t="n">
        <x:f>'01_入力ページ'!D32</x:f>
        <x:v>0</x:v>
      </x:c>
      <x:c r="E19" s="40" t="n">
        <x:f>'01_入力ページ'!E32</x:f>
        <x:v>0</x:v>
      </x:c>
      <x:c r="F19" s="40" t="n">
        <x:f>'01_入力ページ'!F32</x:f>
        <x:v>0</x:v>
      </x:c>
      <x:c r="G19" s="40" t="n">
        <x:f>'01_入力ページ'!G32</x:f>
        <x:v>0</x:v>
      </x:c>
      <x:c r="H19" s="40" t="n">
        <x:f>'01_入力ページ'!H32</x:f>
        <x:v>0</x:v>
      </x:c>
      <x:c r="I19" s="40" t="n">
        <x:f>'01_入力ページ'!I32</x:f>
        <x:v>0</x:v>
      </x:c>
      <x:c r="J19" s="40" t="n">
        <x:f>'01_入力ページ'!J32</x:f>
        <x:v>0</x:v>
      </x:c>
      <x:c r="K19" s="40" t="n">
        <x:f>'01_入力ページ'!K32</x:f>
        <x:v>0</x:v>
      </x:c>
      <x:c r="L19" s="40" t="n">
        <x:f>'01_入力ページ'!L32</x:f>
        <x:v>0</x:v>
      </x:c>
      <x:c r="M19" s="40" t="n">
        <x:f>'01_入力ページ'!M32</x:f>
        <x:v>0</x:v>
      </x:c>
      <x:c r="N19" s="40" t="n">
        <x:f>'01_入力ページ'!N32</x:f>
        <x:v>0</x:v>
      </x:c>
      <x:c r="O19" s="40" t="n">
        <x:f>'01_入力ページ'!O32</x:f>
        <x:v>0</x:v>
      </x:c>
      <x:c r="P19" s="40" t="n">
        <x:f>'01_入力ページ'!P32</x:f>
        <x:v>0</x:v>
      </x:c>
      <x:c r="Q19" s="40" t="n">
        <x:f>'01_入力ページ'!Q32</x:f>
        <x:v>0</x:v>
      </x:c>
      <x:c r="R19" s="40" t="n">
        <x:f>'01_入力ページ'!R32</x:f>
        <x:v>0</x:v>
      </x:c>
      <x:c r="S19" s="40" t="n">
        <x:f>'01_入力ページ'!S32</x:f>
        <x:v>0</x:v>
      </x:c>
      <x:c r="T19" s="40" t="n">
        <x:f>'01_入力ページ'!T32</x:f>
        <x:v>0</x:v>
      </x:c>
      <x:c r="U19" s="40" t="n">
        <x:f>'01_入力ページ'!U32</x:f>
        <x:v>0</x:v>
      </x:c>
      <x:c r="V19" s="40" t="n">
        <x:f>'01_入力ページ'!V32</x:f>
        <x:v>0</x:v>
      </x:c>
      <x:c r="W19" s="40" t="n">
        <x:f>'01_入力ページ'!W32</x:f>
        <x:v>0</x:v>
      </x:c>
      <x:c r="X19" s="40" t="n">
        <x:f>'01_入力ページ'!X32</x:f>
        <x:v>0</x:v>
      </x:c>
      <x:c r="Y19" s="40" t="n">
        <x:f>'01_入力ページ'!Y32</x:f>
        <x:v>0</x:v>
      </x:c>
      <x:c r="Z19" s="40" t="n">
        <x:f>'01_入力ページ'!Z32</x:f>
        <x:v>0</x:v>
      </x:c>
      <x:c r="AA19" s="40" t="n">
        <x:f>'01_入力ページ'!AA32</x:f>
        <x:v>0</x:v>
      </x:c>
      <x:c r="AB19" s="40" t="n">
        <x:f>'01_入力ページ'!AB32</x:f>
        <x:v>0</x:v>
      </x:c>
      <x:c r="AC19" s="40" t="n">
        <x:f>'01_入力ページ'!AC32</x:f>
        <x:v>0</x:v>
      </x:c>
      <x:c r="AD19" s="40" t="n">
        <x:f>'01_入力ページ'!AD32</x:f>
        <x:v>0</x:v>
      </x:c>
      <x:c r="AE19" s="40" t="n">
        <x:f>'01_入力ページ'!AE32</x:f>
        <x:v>0</x:v>
      </x:c>
      <x:c r="AF19" s="40" t="n">
        <x:f>'01_入力ページ'!AF32</x:f>
        <x:v>0</x:v>
      </x:c>
      <x:c r="AG19" s="40" t="n">
        <x:f>'01_入力ページ'!AG32</x:f>
        <x:v>0</x:v>
      </x:c>
      <x:c r="AH19" s="40" t="n">
        <x:f>'01_入力ページ'!AH32</x:f>
        <x:v>0</x:v>
      </x:c>
      <x:c r="AI19" s="40" t="n">
        <x:f>'01_入力ページ'!AI32</x:f>
        <x:v>0</x:v>
      </x:c>
      <x:c r="AJ19" s="40" t="n">
        <x:f>'01_入力ページ'!AJ32</x:f>
        <x:v>0</x:v>
      </x:c>
      <x:c r="AK19" s="40" t="n">
        <x:f>'01_入力ページ'!AK32</x:f>
        <x:v>0</x:v>
      </x:c>
      <x:c r="AL19" s="40" t="n">
        <x:f>'01_入力ページ'!AL32</x:f>
        <x:v>0</x:v>
      </x:c>
      <x:c r="AM19" s="40" t="n">
        <x:f>'01_入力ページ'!AM32</x:f>
        <x:v>0</x:v>
      </x:c>
      <x:c r="AN19" s="40" t="n">
        <x:f>'01_入力ページ'!AN32</x:f>
        <x:v>0</x:v>
      </x:c>
      <x:c r="AO19" s="40" t="n">
        <x:f>'01_入力ページ'!AO32</x:f>
        <x:v>0</x:v>
      </x:c>
      <x:c r="AP19" s="40" t="n">
        <x:f>'01_入力ページ'!AP32</x:f>
        <x:v>0</x:v>
      </x:c>
      <x:c r="AQ19" s="40" t="n">
        <x:f>'01_入力ページ'!AQ32</x:f>
        <x:v>0</x:v>
      </x:c>
      <x:c r="AR19" s="40" t="n">
        <x:f>'01_入力ページ'!AR32</x:f>
        <x:v>0</x:v>
      </x:c>
      <x:c r="AS19" s="40" t="n">
        <x:f>'01_入力ページ'!AS32</x:f>
        <x:v>0</x:v>
      </x:c>
      <x:c r="AT19" s="40" t="n">
        <x:f>'01_入力ページ'!AT32</x:f>
        <x:v>0</x:v>
      </x:c>
      <x:c r="AU19" s="40" t="n">
        <x:f>'01_入力ページ'!AU32</x:f>
        <x:v>0</x:v>
      </x:c>
      <x:c r="AV19" s="40" t="n">
        <x:f>'01_入力ページ'!AV32</x:f>
        <x:v>0</x:v>
      </x:c>
      <x:c r="AW19" s="40" t="n">
        <x:f>'01_入力ページ'!AW32</x:f>
        <x:v>0</x:v>
      </x:c>
      <x:c r="AX19" s="40" t="n">
        <x:f>'01_入力ページ'!AX32</x:f>
        <x:v>0</x:v>
      </x:c>
      <x:c r="AY19" s="40" t="n">
        <x:f>'01_入力ページ'!AY32</x:f>
        <x:v>0</x:v>
      </x:c>
      <x:c r="AZ19" s="40" t="n">
        <x:f>'01_入力ページ'!AZ32</x:f>
        <x:v>0</x:v>
      </x:c>
      <x:c r="BA19" s="40" t="n">
        <x:f>'01_入力ページ'!BA32</x:f>
        <x:v>0</x:v>
      </x:c>
      <x:c r="BB19" s="40" t="n">
        <x:f>'01_入力ページ'!BB32</x:f>
        <x:v>0</x:v>
      </x:c>
      <x:c r="BC19" s="40" t="n">
        <x:f>'01_入力ページ'!BC32</x:f>
        <x:v>0</x:v>
      </x:c>
      <x:c r="BD19" s="40" t="n">
        <x:f>'01_入力ページ'!BD32</x:f>
        <x:v>0</x:v>
      </x:c>
      <x:c r="BE19" s="40" t="n">
        <x:f>'01_入力ページ'!BE32</x:f>
        <x:v>0</x:v>
      </x:c>
      <x:c r="BF19" s="40" t="n">
        <x:f>'01_入力ページ'!BF32</x:f>
        <x:v>0</x:v>
      </x:c>
      <x:c r="BG19" s="40" t="n">
        <x:f>'01_入力ページ'!BG32</x:f>
        <x:v>0</x:v>
      </x:c>
      <x:c r="BH19" s="40" t="n">
        <x:f>'01_入力ページ'!BH32</x:f>
        <x:v>0</x:v>
      </x:c>
      <x:c r="BI19" s="40" t="n">
        <x:f>'01_入力ページ'!BI32</x:f>
        <x:v>0</x:v>
      </x:c>
      <x:c r="BJ19" s="40" t="n">
        <x:f>'01_入力ページ'!BJ32</x:f>
        <x:v>0</x:v>
      </x:c>
    </x:row>
    <x:row r="20">
      <x:c r="A20" s="12" t="str">
        <x:v>固定費</x:v>
      </x:c>
      <x:c r="B20" s="12" t="str">
        <x:v>通信費</x:v>
      </x:c>
      <x:c r="C20" s="40" t="n">
        <x:f>'01_入力ページ'!C33</x:f>
        <x:v>50</x:v>
      </x:c>
      <x:c r="D20" s="40" t="n">
        <x:f>'01_入力ページ'!D33</x:f>
        <x:v>50</x:v>
      </x:c>
      <x:c r="E20" s="40" t="n">
        <x:f>'01_入力ページ'!E33</x:f>
        <x:v>50</x:v>
      </x:c>
      <x:c r="F20" s="40" t="n">
        <x:f>'01_入力ページ'!F33</x:f>
        <x:v>50</x:v>
      </x:c>
      <x:c r="G20" s="40" t="n">
        <x:f>'01_入力ページ'!G33</x:f>
        <x:v>50</x:v>
      </x:c>
      <x:c r="H20" s="40" t="n">
        <x:f>'01_入力ページ'!H33</x:f>
        <x:v>50</x:v>
      </x:c>
      <x:c r="I20" s="40" t="n">
        <x:f>'01_入力ページ'!I33</x:f>
        <x:v>50</x:v>
      </x:c>
      <x:c r="J20" s="40" t="n">
        <x:f>'01_入力ページ'!J33</x:f>
        <x:v>50</x:v>
      </x:c>
      <x:c r="K20" s="40" t="n">
        <x:f>'01_入力ページ'!K33</x:f>
        <x:v>50</x:v>
      </x:c>
      <x:c r="L20" s="40" t="n">
        <x:f>'01_入力ページ'!L33</x:f>
        <x:v>50</x:v>
      </x:c>
      <x:c r="M20" s="40" t="n">
        <x:f>'01_入力ページ'!M33</x:f>
        <x:v>50</x:v>
      </x:c>
      <x:c r="N20" s="40" t="n">
        <x:f>'01_入力ページ'!N33</x:f>
        <x:v>50</x:v>
      </x:c>
      <x:c r="O20" s="40" t="n">
        <x:f>'01_入力ページ'!O33</x:f>
        <x:v>50</x:v>
      </x:c>
      <x:c r="P20" s="40" t="n">
        <x:f>'01_入力ページ'!P33</x:f>
        <x:v>50</x:v>
      </x:c>
      <x:c r="Q20" s="40" t="n">
        <x:f>'01_入力ページ'!Q33</x:f>
        <x:v>50</x:v>
      </x:c>
      <x:c r="R20" s="40" t="n">
        <x:f>'01_入力ページ'!R33</x:f>
        <x:v>50</x:v>
      </x:c>
      <x:c r="S20" s="40" t="n">
        <x:f>'01_入力ページ'!S33</x:f>
        <x:v>50</x:v>
      </x:c>
      <x:c r="T20" s="40" t="n">
        <x:f>'01_入力ページ'!T33</x:f>
        <x:v>50</x:v>
      </x:c>
      <x:c r="U20" s="40" t="n">
        <x:f>'01_入力ページ'!U33</x:f>
        <x:v>50</x:v>
      </x:c>
      <x:c r="V20" s="40" t="n">
        <x:f>'01_入力ページ'!V33</x:f>
        <x:v>50</x:v>
      </x:c>
      <x:c r="W20" s="40" t="n">
        <x:f>'01_入力ページ'!W33</x:f>
        <x:v>50</x:v>
      </x:c>
      <x:c r="X20" s="40" t="n">
        <x:f>'01_入力ページ'!X33</x:f>
        <x:v>50</x:v>
      </x:c>
      <x:c r="Y20" s="40" t="n">
        <x:f>'01_入力ページ'!Y33</x:f>
        <x:v>50</x:v>
      </x:c>
      <x:c r="Z20" s="40" t="n">
        <x:f>'01_入力ページ'!Z33</x:f>
        <x:v>50</x:v>
      </x:c>
      <x:c r="AA20" s="40" t="n">
        <x:f>'01_入力ページ'!AA33</x:f>
        <x:v>50</x:v>
      </x:c>
      <x:c r="AB20" s="40" t="n">
        <x:f>'01_入力ページ'!AB33</x:f>
        <x:v>50</x:v>
      </x:c>
      <x:c r="AC20" s="40" t="n">
        <x:f>'01_入力ページ'!AC33</x:f>
        <x:v>50</x:v>
      </x:c>
      <x:c r="AD20" s="40" t="n">
        <x:f>'01_入力ページ'!AD33</x:f>
        <x:v>50</x:v>
      </x:c>
      <x:c r="AE20" s="40" t="n">
        <x:f>'01_入力ページ'!AE33</x:f>
        <x:v>50</x:v>
      </x:c>
      <x:c r="AF20" s="40" t="n">
        <x:f>'01_入力ページ'!AF33</x:f>
        <x:v>50</x:v>
      </x:c>
      <x:c r="AG20" s="40" t="n">
        <x:f>'01_入力ページ'!AG33</x:f>
        <x:v>50</x:v>
      </x:c>
      <x:c r="AH20" s="40" t="n">
        <x:f>'01_入力ページ'!AH33</x:f>
        <x:v>50</x:v>
      </x:c>
      <x:c r="AI20" s="40" t="n">
        <x:f>'01_入力ページ'!AI33</x:f>
        <x:v>50</x:v>
      </x:c>
      <x:c r="AJ20" s="40" t="n">
        <x:f>'01_入力ページ'!AJ33</x:f>
        <x:v>50</x:v>
      </x:c>
      <x:c r="AK20" s="40" t="n">
        <x:f>'01_入力ページ'!AK33</x:f>
        <x:v>50</x:v>
      </x:c>
      <x:c r="AL20" s="40" t="n">
        <x:f>'01_入力ページ'!AL33</x:f>
        <x:v>50</x:v>
      </x:c>
      <x:c r="AM20" s="40" t="n">
        <x:f>'01_入力ページ'!AM33</x:f>
        <x:v>50</x:v>
      </x:c>
      <x:c r="AN20" s="40" t="n">
        <x:f>'01_入力ページ'!AN33</x:f>
        <x:v>50</x:v>
      </x:c>
      <x:c r="AO20" s="40" t="n">
        <x:f>'01_入力ページ'!AO33</x:f>
        <x:v>50</x:v>
      </x:c>
      <x:c r="AP20" s="40" t="n">
        <x:f>'01_入力ページ'!AP33</x:f>
        <x:v>50</x:v>
      </x:c>
      <x:c r="AQ20" s="40" t="n">
        <x:f>'01_入力ページ'!AQ33</x:f>
        <x:v>50</x:v>
      </x:c>
      <x:c r="AR20" s="40" t="n">
        <x:f>'01_入力ページ'!AR33</x:f>
        <x:v>50</x:v>
      </x:c>
      <x:c r="AS20" s="40" t="n">
        <x:f>'01_入力ページ'!AS33</x:f>
        <x:v>50</x:v>
      </x:c>
      <x:c r="AT20" s="40" t="n">
        <x:f>'01_入力ページ'!AT33</x:f>
        <x:v>50</x:v>
      </x:c>
      <x:c r="AU20" s="40" t="n">
        <x:f>'01_入力ページ'!AU33</x:f>
        <x:v>50</x:v>
      </x:c>
      <x:c r="AV20" s="40" t="n">
        <x:f>'01_入力ページ'!AV33</x:f>
        <x:v>50</x:v>
      </x:c>
      <x:c r="AW20" s="40" t="n">
        <x:f>'01_入力ページ'!AW33</x:f>
        <x:v>50</x:v>
      </x:c>
      <x:c r="AX20" s="40" t="n">
        <x:f>'01_入力ページ'!AX33</x:f>
        <x:v>50</x:v>
      </x:c>
      <x:c r="AY20" s="40" t="n">
        <x:f>'01_入力ページ'!AY33</x:f>
        <x:v>50</x:v>
      </x:c>
      <x:c r="AZ20" s="40" t="n">
        <x:f>'01_入力ページ'!AZ33</x:f>
        <x:v>50</x:v>
      </x:c>
      <x:c r="BA20" s="40" t="n">
        <x:f>'01_入力ページ'!BA33</x:f>
        <x:v>50</x:v>
      </x:c>
      <x:c r="BB20" s="40" t="n">
        <x:f>'01_入力ページ'!BB33</x:f>
        <x:v>50</x:v>
      </x:c>
      <x:c r="BC20" s="40" t="n">
        <x:f>'01_入力ページ'!BC33</x:f>
        <x:v>50</x:v>
      </x:c>
      <x:c r="BD20" s="40" t="n">
        <x:f>'01_入力ページ'!BD33</x:f>
        <x:v>50</x:v>
      </x:c>
      <x:c r="BE20" s="40" t="n">
        <x:f>'01_入力ページ'!BE33</x:f>
        <x:v>50</x:v>
      </x:c>
      <x:c r="BF20" s="40" t="n">
        <x:f>'01_入力ページ'!BF33</x:f>
        <x:v>50</x:v>
      </x:c>
      <x:c r="BG20" s="40" t="n">
        <x:f>'01_入力ページ'!BG33</x:f>
        <x:v>50</x:v>
      </x:c>
      <x:c r="BH20" s="40" t="n">
        <x:f>'01_入力ページ'!BH33</x:f>
        <x:v>50</x:v>
      </x:c>
      <x:c r="BI20" s="40" t="n">
        <x:f>'01_入力ページ'!BI33</x:f>
        <x:v>50</x:v>
      </x:c>
      <x:c r="BJ20" s="40" t="n">
        <x:f>'01_入力ページ'!BJ33</x:f>
        <x:v>50</x:v>
      </x:c>
    </x:row>
    <x:row r="21">
      <x:c r="A21" s="12" t="str">
        <x:v>固定費</x:v>
      </x:c>
      <x:c r="B21" s="12" t="str">
        <x:v>保険料</x:v>
      </x:c>
      <x:c r="C21" s="40" t="n">
        <x:f>'01_入力ページ'!C34</x:f>
        <x:v>30</x:v>
      </x:c>
      <x:c r="D21" s="40" t="n">
        <x:f>'01_入力ページ'!D34</x:f>
        <x:v>30</x:v>
      </x:c>
      <x:c r="E21" s="40" t="n">
        <x:f>'01_入力ページ'!E34</x:f>
        <x:v>30</x:v>
      </x:c>
      <x:c r="F21" s="40" t="n">
        <x:f>'01_入力ページ'!F34</x:f>
        <x:v>30</x:v>
      </x:c>
      <x:c r="G21" s="40" t="n">
        <x:f>'01_入力ページ'!G34</x:f>
        <x:v>30</x:v>
      </x:c>
      <x:c r="H21" s="40" t="n">
        <x:f>'01_入力ページ'!H34</x:f>
        <x:v>30</x:v>
      </x:c>
      <x:c r="I21" s="40" t="n">
        <x:f>'01_入力ページ'!I34</x:f>
        <x:v>30</x:v>
      </x:c>
      <x:c r="J21" s="40" t="n">
        <x:f>'01_入力ページ'!J34</x:f>
        <x:v>30</x:v>
      </x:c>
      <x:c r="K21" s="40" t="n">
        <x:f>'01_入力ページ'!K34</x:f>
        <x:v>30</x:v>
      </x:c>
      <x:c r="L21" s="40" t="n">
        <x:f>'01_入力ページ'!L34</x:f>
        <x:v>30</x:v>
      </x:c>
      <x:c r="M21" s="40" t="n">
        <x:f>'01_入力ページ'!M34</x:f>
        <x:v>30</x:v>
      </x:c>
      <x:c r="N21" s="40" t="n">
        <x:f>'01_入力ページ'!N34</x:f>
        <x:v>30</x:v>
      </x:c>
      <x:c r="O21" s="40" t="n">
        <x:f>'01_入力ページ'!O34</x:f>
        <x:v>30</x:v>
      </x:c>
      <x:c r="P21" s="40" t="n">
        <x:f>'01_入力ページ'!P34</x:f>
        <x:v>30</x:v>
      </x:c>
      <x:c r="Q21" s="40" t="n">
        <x:f>'01_入力ページ'!Q34</x:f>
        <x:v>30</x:v>
      </x:c>
      <x:c r="R21" s="40" t="n">
        <x:f>'01_入力ページ'!R34</x:f>
        <x:v>30</x:v>
      </x:c>
      <x:c r="S21" s="40" t="n">
        <x:f>'01_入力ページ'!S34</x:f>
        <x:v>30</x:v>
      </x:c>
      <x:c r="T21" s="40" t="n">
        <x:f>'01_入力ページ'!T34</x:f>
        <x:v>30</x:v>
      </x:c>
      <x:c r="U21" s="40" t="n">
        <x:f>'01_入力ページ'!U34</x:f>
        <x:v>30</x:v>
      </x:c>
      <x:c r="V21" s="40" t="n">
        <x:f>'01_入力ページ'!V34</x:f>
        <x:v>30</x:v>
      </x:c>
      <x:c r="W21" s="40" t="n">
        <x:f>'01_入力ページ'!W34</x:f>
        <x:v>30</x:v>
      </x:c>
      <x:c r="X21" s="40" t="n">
        <x:f>'01_入力ページ'!X34</x:f>
        <x:v>30</x:v>
      </x:c>
      <x:c r="Y21" s="40" t="n">
        <x:f>'01_入力ページ'!Y34</x:f>
        <x:v>30</x:v>
      </x:c>
      <x:c r="Z21" s="40" t="n">
        <x:f>'01_入力ページ'!Z34</x:f>
        <x:v>30</x:v>
      </x:c>
      <x:c r="AA21" s="40" t="n">
        <x:f>'01_入力ページ'!AA34</x:f>
        <x:v>30</x:v>
      </x:c>
      <x:c r="AB21" s="40" t="n">
        <x:f>'01_入力ページ'!AB34</x:f>
        <x:v>30</x:v>
      </x:c>
      <x:c r="AC21" s="40" t="n">
        <x:f>'01_入力ページ'!AC34</x:f>
        <x:v>30</x:v>
      </x:c>
      <x:c r="AD21" s="40" t="n">
        <x:f>'01_入力ページ'!AD34</x:f>
        <x:v>30</x:v>
      </x:c>
      <x:c r="AE21" s="40" t="n">
        <x:f>'01_入力ページ'!AE34</x:f>
        <x:v>30</x:v>
      </x:c>
      <x:c r="AF21" s="40" t="n">
        <x:f>'01_入力ページ'!AF34</x:f>
        <x:v>30</x:v>
      </x:c>
      <x:c r="AG21" s="40" t="n">
        <x:f>'01_入力ページ'!AG34</x:f>
        <x:v>30</x:v>
      </x:c>
      <x:c r="AH21" s="40" t="n">
        <x:f>'01_入力ページ'!AH34</x:f>
        <x:v>30</x:v>
      </x:c>
      <x:c r="AI21" s="40" t="n">
        <x:f>'01_入力ページ'!AI34</x:f>
        <x:v>30</x:v>
      </x:c>
      <x:c r="AJ21" s="40" t="n">
        <x:f>'01_入力ページ'!AJ34</x:f>
        <x:v>30</x:v>
      </x:c>
      <x:c r="AK21" s="40" t="n">
        <x:f>'01_入力ページ'!AK34</x:f>
        <x:v>30</x:v>
      </x:c>
      <x:c r="AL21" s="40" t="n">
        <x:f>'01_入力ページ'!AL34</x:f>
        <x:v>30</x:v>
      </x:c>
      <x:c r="AM21" s="40" t="n">
        <x:f>'01_入力ページ'!AM34</x:f>
        <x:v>30</x:v>
      </x:c>
      <x:c r="AN21" s="40" t="n">
        <x:f>'01_入力ページ'!AN34</x:f>
        <x:v>30</x:v>
      </x:c>
      <x:c r="AO21" s="40" t="n">
        <x:f>'01_入力ページ'!AO34</x:f>
        <x:v>30</x:v>
      </x:c>
      <x:c r="AP21" s="40" t="n">
        <x:f>'01_入力ページ'!AP34</x:f>
        <x:v>30</x:v>
      </x:c>
      <x:c r="AQ21" s="40" t="n">
        <x:f>'01_入力ページ'!AQ34</x:f>
        <x:v>30</x:v>
      </x:c>
      <x:c r="AR21" s="40" t="n">
        <x:f>'01_入力ページ'!AR34</x:f>
        <x:v>30</x:v>
      </x:c>
      <x:c r="AS21" s="40" t="n">
        <x:f>'01_入力ページ'!AS34</x:f>
        <x:v>30</x:v>
      </x:c>
      <x:c r="AT21" s="40" t="n">
        <x:f>'01_入力ページ'!AT34</x:f>
        <x:v>30</x:v>
      </x:c>
      <x:c r="AU21" s="40" t="n">
        <x:f>'01_入力ページ'!AU34</x:f>
        <x:v>30</x:v>
      </x:c>
      <x:c r="AV21" s="40" t="n">
        <x:f>'01_入力ページ'!AV34</x:f>
        <x:v>30</x:v>
      </x:c>
      <x:c r="AW21" s="40" t="n">
        <x:f>'01_入力ページ'!AW34</x:f>
        <x:v>30</x:v>
      </x:c>
      <x:c r="AX21" s="40" t="n">
        <x:f>'01_入力ページ'!AX34</x:f>
        <x:v>30</x:v>
      </x:c>
      <x:c r="AY21" s="40" t="n">
        <x:f>'01_入力ページ'!AY34</x:f>
        <x:v>30</x:v>
      </x:c>
      <x:c r="AZ21" s="40" t="n">
        <x:f>'01_入力ページ'!AZ34</x:f>
        <x:v>30</x:v>
      </x:c>
      <x:c r="BA21" s="40" t="n">
        <x:f>'01_入力ページ'!BA34</x:f>
        <x:v>30</x:v>
      </x:c>
      <x:c r="BB21" s="40" t="n">
        <x:f>'01_入力ページ'!BB34</x:f>
        <x:v>30</x:v>
      </x:c>
      <x:c r="BC21" s="40" t="n">
        <x:f>'01_入力ページ'!BC34</x:f>
        <x:v>30</x:v>
      </x:c>
      <x:c r="BD21" s="40" t="n">
        <x:f>'01_入力ページ'!BD34</x:f>
        <x:v>30</x:v>
      </x:c>
      <x:c r="BE21" s="40" t="n">
        <x:f>'01_入力ページ'!BE34</x:f>
        <x:v>30</x:v>
      </x:c>
      <x:c r="BF21" s="40" t="n">
        <x:f>'01_入力ページ'!BF34</x:f>
        <x:v>30</x:v>
      </x:c>
      <x:c r="BG21" s="40" t="n">
        <x:f>'01_入力ページ'!BG34</x:f>
        <x:v>30</x:v>
      </x:c>
      <x:c r="BH21" s="40" t="n">
        <x:f>'01_入力ページ'!BH34</x:f>
        <x:v>30</x:v>
      </x:c>
      <x:c r="BI21" s="40" t="n">
        <x:f>'01_入力ページ'!BI34</x:f>
        <x:v>30</x:v>
      </x:c>
      <x:c r="BJ21" s="40" t="n">
        <x:f>'01_入力ページ'!BJ34</x:f>
        <x:v>30</x:v>
      </x:c>
    </x:row>
    <x:row r="22">
      <x:c r="A22" s="12" t="str">
        <x:v>固定費</x:v>
      </x:c>
      <x:c r="B22" s="12" t="str">
        <x:v>業務委託費</x:v>
      </x:c>
      <x:c r="C22" s="40" t="n">
        <x:f>'01_入力ページ'!C35</x:f>
        <x:v>0</x:v>
      </x:c>
      <x:c r="D22" s="40" t="n">
        <x:f>'01_入力ページ'!D35</x:f>
        <x:v>0</x:v>
      </x:c>
      <x:c r="E22" s="40" t="n">
        <x:f>'01_入力ページ'!E35</x:f>
        <x:v>0</x:v>
      </x:c>
      <x:c r="F22" s="40" t="n">
        <x:f>'01_入力ページ'!F35</x:f>
        <x:v>0</x:v>
      </x:c>
      <x:c r="G22" s="40" t="n">
        <x:f>'01_入力ページ'!G35</x:f>
        <x:v>0</x:v>
      </x:c>
      <x:c r="H22" s="40" t="n">
        <x:f>'01_入力ページ'!H35</x:f>
        <x:v>0</x:v>
      </x:c>
      <x:c r="I22" s="40" t="n">
        <x:f>'01_入力ページ'!I35</x:f>
        <x:v>0</x:v>
      </x:c>
      <x:c r="J22" s="40" t="n">
        <x:f>'01_入力ページ'!J35</x:f>
        <x:v>0</x:v>
      </x:c>
      <x:c r="K22" s="40" t="n">
        <x:f>'01_入力ページ'!K35</x:f>
        <x:v>0</x:v>
      </x:c>
      <x:c r="L22" s="40" t="n">
        <x:f>'01_入力ページ'!L35</x:f>
        <x:v>0</x:v>
      </x:c>
      <x:c r="M22" s="40" t="n">
        <x:f>'01_入力ページ'!M35</x:f>
        <x:v>0</x:v>
      </x:c>
      <x:c r="N22" s="40" t="n">
        <x:f>'01_入力ページ'!N35</x:f>
        <x:v>0</x:v>
      </x:c>
      <x:c r="O22" s="40" t="n">
        <x:f>'01_入力ページ'!O35</x:f>
        <x:v>0</x:v>
      </x:c>
      <x:c r="P22" s="40" t="n">
        <x:f>'01_入力ページ'!P35</x:f>
        <x:v>0</x:v>
      </x:c>
      <x:c r="Q22" s="40" t="n">
        <x:f>'01_入力ページ'!Q35</x:f>
        <x:v>0</x:v>
      </x:c>
      <x:c r="R22" s="40" t="n">
        <x:f>'01_入力ページ'!R35</x:f>
        <x:v>0</x:v>
      </x:c>
      <x:c r="S22" s="40" t="n">
        <x:f>'01_入力ページ'!S35</x:f>
        <x:v>0</x:v>
      </x:c>
      <x:c r="T22" s="40" t="n">
        <x:f>'01_入力ページ'!T35</x:f>
        <x:v>0</x:v>
      </x:c>
      <x:c r="U22" s="40" t="n">
        <x:f>'01_入力ページ'!U35</x:f>
        <x:v>0</x:v>
      </x:c>
      <x:c r="V22" s="40" t="n">
        <x:f>'01_入力ページ'!V35</x:f>
        <x:v>0</x:v>
      </x:c>
      <x:c r="W22" s="40" t="n">
        <x:f>'01_入力ページ'!W35</x:f>
        <x:v>0</x:v>
      </x:c>
      <x:c r="X22" s="40" t="n">
        <x:f>'01_入力ページ'!X35</x:f>
        <x:v>0</x:v>
      </x:c>
      <x:c r="Y22" s="40" t="n">
        <x:f>'01_入力ページ'!Y35</x:f>
        <x:v>0</x:v>
      </x:c>
      <x:c r="Z22" s="40" t="n">
        <x:f>'01_入力ページ'!Z35</x:f>
        <x:v>0</x:v>
      </x:c>
      <x:c r="AA22" s="40" t="n">
        <x:f>'01_入力ページ'!AA35</x:f>
        <x:v>0</x:v>
      </x:c>
      <x:c r="AB22" s="40" t="n">
        <x:f>'01_入力ページ'!AB35</x:f>
        <x:v>0</x:v>
      </x:c>
      <x:c r="AC22" s="40" t="n">
        <x:f>'01_入力ページ'!AC35</x:f>
        <x:v>0</x:v>
      </x:c>
      <x:c r="AD22" s="40" t="n">
        <x:f>'01_入力ページ'!AD35</x:f>
        <x:v>0</x:v>
      </x:c>
      <x:c r="AE22" s="40" t="n">
        <x:f>'01_入力ページ'!AE35</x:f>
        <x:v>0</x:v>
      </x:c>
      <x:c r="AF22" s="40" t="n">
        <x:f>'01_入力ページ'!AF35</x:f>
        <x:v>0</x:v>
      </x:c>
      <x:c r="AG22" s="40" t="n">
        <x:f>'01_入力ページ'!AG35</x:f>
        <x:v>0</x:v>
      </x:c>
      <x:c r="AH22" s="40" t="n">
        <x:f>'01_入力ページ'!AH35</x:f>
        <x:v>0</x:v>
      </x:c>
      <x:c r="AI22" s="40" t="n">
        <x:f>'01_入力ページ'!AI35</x:f>
        <x:v>0</x:v>
      </x:c>
      <x:c r="AJ22" s="40" t="n">
        <x:f>'01_入力ページ'!AJ35</x:f>
        <x:v>0</x:v>
      </x:c>
      <x:c r="AK22" s="40" t="n">
        <x:f>'01_入力ページ'!AK35</x:f>
        <x:v>0</x:v>
      </x:c>
      <x:c r="AL22" s="40" t="n">
        <x:f>'01_入力ページ'!AL35</x:f>
        <x:v>0</x:v>
      </x:c>
      <x:c r="AM22" s="40" t="n">
        <x:f>'01_入力ページ'!AM35</x:f>
        <x:v>0</x:v>
      </x:c>
      <x:c r="AN22" s="40" t="n">
        <x:f>'01_入力ページ'!AN35</x:f>
        <x:v>0</x:v>
      </x:c>
      <x:c r="AO22" s="40" t="n">
        <x:f>'01_入力ページ'!AO35</x:f>
        <x:v>0</x:v>
      </x:c>
      <x:c r="AP22" s="40" t="n">
        <x:f>'01_入力ページ'!AP35</x:f>
        <x:v>0</x:v>
      </x:c>
      <x:c r="AQ22" s="40" t="n">
        <x:f>'01_入力ページ'!AQ35</x:f>
        <x:v>0</x:v>
      </x:c>
      <x:c r="AR22" s="40" t="n">
        <x:f>'01_入力ページ'!AR35</x:f>
        <x:v>0</x:v>
      </x:c>
      <x:c r="AS22" s="40" t="n">
        <x:f>'01_入力ページ'!AS35</x:f>
        <x:v>0</x:v>
      </x:c>
      <x:c r="AT22" s="40" t="n">
        <x:f>'01_入力ページ'!AT35</x:f>
        <x:v>0</x:v>
      </x:c>
      <x:c r="AU22" s="40" t="n">
        <x:f>'01_入力ページ'!AU35</x:f>
        <x:v>0</x:v>
      </x:c>
      <x:c r="AV22" s="40" t="n">
        <x:f>'01_入力ページ'!AV35</x:f>
        <x:v>0</x:v>
      </x:c>
      <x:c r="AW22" s="40" t="n">
        <x:f>'01_入力ページ'!AW35</x:f>
        <x:v>0</x:v>
      </x:c>
      <x:c r="AX22" s="40" t="n">
        <x:f>'01_入力ページ'!AX35</x:f>
        <x:v>0</x:v>
      </x:c>
      <x:c r="AY22" s="40" t="n">
        <x:f>'01_入力ページ'!AY35</x:f>
        <x:v>0</x:v>
      </x:c>
      <x:c r="AZ22" s="40" t="n">
        <x:f>'01_入力ページ'!AZ35</x:f>
        <x:v>0</x:v>
      </x:c>
      <x:c r="BA22" s="40" t="n">
        <x:f>'01_入力ページ'!BA35</x:f>
        <x:v>0</x:v>
      </x:c>
      <x:c r="BB22" s="40" t="n">
        <x:f>'01_入力ページ'!BB35</x:f>
        <x:v>0</x:v>
      </x:c>
      <x:c r="BC22" s="40" t="n">
        <x:f>'01_入力ページ'!BC35</x:f>
        <x:v>0</x:v>
      </x:c>
      <x:c r="BD22" s="40" t="n">
        <x:f>'01_入力ページ'!BD35</x:f>
        <x:v>0</x:v>
      </x:c>
      <x:c r="BE22" s="40" t="n">
        <x:f>'01_入力ページ'!BE35</x:f>
        <x:v>0</x:v>
      </x:c>
      <x:c r="BF22" s="40" t="n">
        <x:f>'01_入力ページ'!BF35</x:f>
        <x:v>0</x:v>
      </x:c>
      <x:c r="BG22" s="40" t="n">
        <x:f>'01_入力ページ'!BG35</x:f>
        <x:v>0</x:v>
      </x:c>
      <x:c r="BH22" s="40" t="n">
        <x:f>'01_入力ページ'!BH35</x:f>
        <x:v>0</x:v>
      </x:c>
      <x:c r="BI22" s="40" t="n">
        <x:f>'01_入力ページ'!BI35</x:f>
        <x:v>0</x:v>
      </x:c>
      <x:c r="BJ22" s="40" t="n">
        <x:f>'01_入力ページ'!BJ35</x:f>
        <x:v>0</x:v>
      </x:c>
    </x:row>
    <x:row r="23">
      <x:c r="A23" s="12" t="str">
        <x:v>固定費</x:v>
      </x:c>
      <x:c r="B23" s="12" t="str">
        <x:v>その他固定費</x:v>
      </x:c>
      <x:c r="C23" s="40" t="n">
        <x:f>'01_入力ページ'!C36</x:f>
        <x:v>200</x:v>
      </x:c>
      <x:c r="D23" s="40" t="n">
        <x:f>'01_入力ページ'!D36</x:f>
        <x:v>200</x:v>
      </x:c>
      <x:c r="E23" s="40" t="n">
        <x:f>'01_入力ページ'!E36</x:f>
        <x:v>200</x:v>
      </x:c>
      <x:c r="F23" s="40" t="n">
        <x:f>'01_入力ページ'!F36</x:f>
        <x:v>200</x:v>
      </x:c>
      <x:c r="G23" s="40" t="n">
        <x:f>'01_入力ページ'!G36</x:f>
        <x:v>200</x:v>
      </x:c>
      <x:c r="H23" s="40" t="n">
        <x:f>'01_入力ページ'!H36</x:f>
        <x:v>200</x:v>
      </x:c>
      <x:c r="I23" s="40" t="n">
        <x:f>'01_入力ページ'!I36</x:f>
        <x:v>200</x:v>
      </x:c>
      <x:c r="J23" s="40" t="n">
        <x:f>'01_入力ページ'!J36</x:f>
        <x:v>200</x:v>
      </x:c>
      <x:c r="K23" s="40" t="n">
        <x:f>'01_入力ページ'!K36</x:f>
        <x:v>200</x:v>
      </x:c>
      <x:c r="L23" s="40" t="n">
        <x:f>'01_入力ページ'!L36</x:f>
        <x:v>200</x:v>
      </x:c>
      <x:c r="M23" s="40" t="n">
        <x:f>'01_入力ページ'!M36</x:f>
        <x:v>200</x:v>
      </x:c>
      <x:c r="N23" s="40" t="n">
        <x:f>'01_入力ページ'!N36</x:f>
        <x:v>200</x:v>
      </x:c>
      <x:c r="O23" s="40" t="n">
        <x:f>'01_入力ページ'!O36</x:f>
        <x:v>200</x:v>
      </x:c>
      <x:c r="P23" s="40" t="n">
        <x:f>'01_入力ページ'!P36</x:f>
        <x:v>200</x:v>
      </x:c>
      <x:c r="Q23" s="40" t="n">
        <x:f>'01_入力ページ'!Q36</x:f>
        <x:v>200</x:v>
      </x:c>
      <x:c r="R23" s="40" t="n">
        <x:f>'01_入力ページ'!R36</x:f>
        <x:v>200</x:v>
      </x:c>
      <x:c r="S23" s="40" t="n">
        <x:f>'01_入力ページ'!S36</x:f>
        <x:v>200</x:v>
      </x:c>
      <x:c r="T23" s="40" t="n">
        <x:f>'01_入力ページ'!T36</x:f>
        <x:v>200</x:v>
      </x:c>
      <x:c r="U23" s="40" t="n">
        <x:f>'01_入力ページ'!U36</x:f>
        <x:v>200</x:v>
      </x:c>
      <x:c r="V23" s="40" t="n">
        <x:f>'01_入力ページ'!V36</x:f>
        <x:v>200</x:v>
      </x:c>
      <x:c r="W23" s="40" t="n">
        <x:f>'01_入力ページ'!W36</x:f>
        <x:v>200</x:v>
      </x:c>
      <x:c r="X23" s="40" t="n">
        <x:f>'01_入力ページ'!X36</x:f>
        <x:v>200</x:v>
      </x:c>
      <x:c r="Y23" s="40" t="n">
        <x:f>'01_入力ページ'!Y36</x:f>
        <x:v>200</x:v>
      </x:c>
      <x:c r="Z23" s="40" t="n">
        <x:f>'01_入力ページ'!Z36</x:f>
        <x:v>200</x:v>
      </x:c>
      <x:c r="AA23" s="40" t="n">
        <x:f>'01_入力ページ'!AA36</x:f>
        <x:v>200</x:v>
      </x:c>
      <x:c r="AB23" s="40" t="n">
        <x:f>'01_入力ページ'!AB36</x:f>
        <x:v>200</x:v>
      </x:c>
      <x:c r="AC23" s="40" t="n">
        <x:f>'01_入力ページ'!AC36</x:f>
        <x:v>200</x:v>
      </x:c>
      <x:c r="AD23" s="40" t="n">
        <x:f>'01_入力ページ'!AD36</x:f>
        <x:v>200</x:v>
      </x:c>
      <x:c r="AE23" s="40" t="n">
        <x:f>'01_入力ページ'!AE36</x:f>
        <x:v>200</x:v>
      </x:c>
      <x:c r="AF23" s="40" t="n">
        <x:f>'01_入力ページ'!AF36</x:f>
        <x:v>200</x:v>
      </x:c>
      <x:c r="AG23" s="40" t="n">
        <x:f>'01_入力ページ'!AG36</x:f>
        <x:v>200</x:v>
      </x:c>
      <x:c r="AH23" s="40" t="n">
        <x:f>'01_入力ページ'!AH36</x:f>
        <x:v>200</x:v>
      </x:c>
      <x:c r="AI23" s="40" t="n">
        <x:f>'01_入力ページ'!AI36</x:f>
        <x:v>200</x:v>
      </x:c>
      <x:c r="AJ23" s="40" t="n">
        <x:f>'01_入力ページ'!AJ36</x:f>
        <x:v>200</x:v>
      </x:c>
      <x:c r="AK23" s="40" t="n">
        <x:f>'01_入力ページ'!AK36</x:f>
        <x:v>200</x:v>
      </x:c>
      <x:c r="AL23" s="40" t="n">
        <x:f>'01_入力ページ'!AL36</x:f>
        <x:v>200</x:v>
      </x:c>
      <x:c r="AM23" s="40" t="n">
        <x:f>'01_入力ページ'!AM36</x:f>
        <x:v>200</x:v>
      </x:c>
      <x:c r="AN23" s="40" t="n">
        <x:f>'01_入力ページ'!AN36</x:f>
        <x:v>200</x:v>
      </x:c>
      <x:c r="AO23" s="40" t="n">
        <x:f>'01_入力ページ'!AO36</x:f>
        <x:v>200</x:v>
      </x:c>
      <x:c r="AP23" s="40" t="n">
        <x:f>'01_入力ページ'!AP36</x:f>
        <x:v>200</x:v>
      </x:c>
      <x:c r="AQ23" s="40" t="n">
        <x:f>'01_入力ページ'!AQ36</x:f>
        <x:v>200</x:v>
      </x:c>
      <x:c r="AR23" s="40" t="n">
        <x:f>'01_入力ページ'!AR36</x:f>
        <x:v>200</x:v>
      </x:c>
      <x:c r="AS23" s="40" t="n">
        <x:f>'01_入力ページ'!AS36</x:f>
        <x:v>200</x:v>
      </x:c>
      <x:c r="AT23" s="40" t="n">
        <x:f>'01_入力ページ'!AT36</x:f>
        <x:v>200</x:v>
      </x:c>
      <x:c r="AU23" s="40" t="n">
        <x:f>'01_入力ページ'!AU36</x:f>
        <x:v>200</x:v>
      </x:c>
      <x:c r="AV23" s="40" t="n">
        <x:f>'01_入力ページ'!AV36</x:f>
        <x:v>200</x:v>
      </x:c>
      <x:c r="AW23" s="40" t="n">
        <x:f>'01_入力ページ'!AW36</x:f>
        <x:v>200</x:v>
      </x:c>
      <x:c r="AX23" s="40" t="n">
        <x:f>'01_入力ページ'!AX36</x:f>
        <x:v>200</x:v>
      </x:c>
      <x:c r="AY23" s="40" t="n">
        <x:f>'01_入力ページ'!AY36</x:f>
        <x:v>200</x:v>
      </x:c>
      <x:c r="AZ23" s="40" t="n">
        <x:f>'01_入力ページ'!AZ36</x:f>
        <x:v>200</x:v>
      </x:c>
      <x:c r="BA23" s="40" t="n">
        <x:f>'01_入力ページ'!BA36</x:f>
        <x:v>200</x:v>
      </x:c>
      <x:c r="BB23" s="40" t="n">
        <x:f>'01_入力ページ'!BB36</x:f>
        <x:v>200</x:v>
      </x:c>
      <x:c r="BC23" s="40" t="n">
        <x:f>'01_入力ページ'!BC36</x:f>
        <x:v>200</x:v>
      </x:c>
      <x:c r="BD23" s="40" t="n">
        <x:f>'01_入力ページ'!BD36</x:f>
        <x:v>200</x:v>
      </x:c>
      <x:c r="BE23" s="40" t="n">
        <x:f>'01_入力ページ'!BE36</x:f>
        <x:v>200</x:v>
      </x:c>
      <x:c r="BF23" s="40" t="n">
        <x:f>'01_入力ページ'!BF36</x:f>
        <x:v>200</x:v>
      </x:c>
      <x:c r="BG23" s="40" t="n">
        <x:f>'01_入力ページ'!BG36</x:f>
        <x:v>200</x:v>
      </x:c>
      <x:c r="BH23" s="40" t="n">
        <x:f>'01_入力ページ'!BH36</x:f>
        <x:v>200</x:v>
      </x:c>
      <x:c r="BI23" s="40" t="n">
        <x:f>'01_入力ページ'!BI36</x:f>
        <x:v>200</x:v>
      </x:c>
      <x:c r="BJ23" s="40" t="n">
        <x:f>'01_入力ページ'!BJ36</x:f>
        <x:v>200</x:v>
      </x:c>
    </x:row>
    <x:row r="24">
      <x:c r="A24" s="12" t="str">
        <x:v>固定費</x:v>
      </x:c>
      <x:c r="B24" s="12" t="str">
        <x:v>固定費合計</x:v>
      </x:c>
      <x:c r="C24" s="40" t="n">
        <x:f>'01_入力ページ'!C37</x:f>
        <x:v>280</x:v>
      </x:c>
      <x:c r="D24" s="40" t="n">
        <x:f>'01_入力ページ'!D37</x:f>
        <x:v>280</x:v>
      </x:c>
      <x:c r="E24" s="40" t="n">
        <x:f>'01_入力ページ'!E37</x:f>
        <x:v>280</x:v>
      </x:c>
      <x:c r="F24" s="40" t="n">
        <x:f>'01_入力ページ'!F37</x:f>
        <x:v>280</x:v>
      </x:c>
      <x:c r="G24" s="40" t="n">
        <x:f>'01_入力ページ'!G37</x:f>
        <x:v>280</x:v>
      </x:c>
      <x:c r="H24" s="40" t="n">
        <x:f>'01_入力ページ'!H37</x:f>
        <x:v>280</x:v>
      </x:c>
      <x:c r="I24" s="40" t="n">
        <x:f>'01_入力ページ'!I37</x:f>
        <x:v>280</x:v>
      </x:c>
      <x:c r="J24" s="40" t="n">
        <x:f>'01_入力ページ'!J37</x:f>
        <x:v>280</x:v>
      </x:c>
      <x:c r="K24" s="40" t="n">
        <x:f>'01_入力ページ'!K37</x:f>
        <x:v>280</x:v>
      </x:c>
      <x:c r="L24" s="40" t="n">
        <x:f>'01_入力ページ'!L37</x:f>
        <x:v>280</x:v>
      </x:c>
      <x:c r="M24" s="40" t="n">
        <x:f>'01_入力ページ'!M37</x:f>
        <x:v>280</x:v>
      </x:c>
      <x:c r="N24" s="40" t="n">
        <x:f>'01_入力ページ'!N37</x:f>
        <x:v>280</x:v>
      </x:c>
      <x:c r="O24" s="40" t="n">
        <x:f>'01_入力ページ'!O37</x:f>
        <x:v>280</x:v>
      </x:c>
      <x:c r="P24" s="40" t="n">
        <x:f>'01_入力ページ'!P37</x:f>
        <x:v>280</x:v>
      </x:c>
      <x:c r="Q24" s="40" t="n">
        <x:f>'01_入力ページ'!Q37</x:f>
        <x:v>280</x:v>
      </x:c>
      <x:c r="R24" s="40" t="n">
        <x:f>'01_入力ページ'!R37</x:f>
        <x:v>280</x:v>
      </x:c>
      <x:c r="S24" s="40" t="n">
        <x:f>'01_入力ページ'!S37</x:f>
        <x:v>280</x:v>
      </x:c>
      <x:c r="T24" s="40" t="n">
        <x:f>'01_入力ページ'!T37</x:f>
        <x:v>280</x:v>
      </x:c>
      <x:c r="U24" s="40" t="n">
        <x:f>'01_入力ページ'!U37</x:f>
        <x:v>280</x:v>
      </x:c>
      <x:c r="V24" s="40" t="n">
        <x:f>'01_入力ページ'!V37</x:f>
        <x:v>280</x:v>
      </x:c>
      <x:c r="W24" s="40" t="n">
        <x:f>'01_入力ページ'!W37</x:f>
        <x:v>280</x:v>
      </x:c>
      <x:c r="X24" s="40" t="n">
        <x:f>'01_入力ページ'!X37</x:f>
        <x:v>280</x:v>
      </x:c>
      <x:c r="Y24" s="40" t="n">
        <x:f>'01_入力ページ'!Y37</x:f>
        <x:v>280</x:v>
      </x:c>
      <x:c r="Z24" s="40" t="n">
        <x:f>'01_入力ページ'!Z37</x:f>
        <x:v>280</x:v>
      </x:c>
      <x:c r="AA24" s="40" t="n">
        <x:f>'01_入力ページ'!AA37</x:f>
        <x:v>280</x:v>
      </x:c>
      <x:c r="AB24" s="40" t="n">
        <x:f>'01_入力ページ'!AB37</x:f>
        <x:v>280</x:v>
      </x:c>
      <x:c r="AC24" s="40" t="n">
        <x:f>'01_入力ページ'!AC37</x:f>
        <x:v>280</x:v>
      </x:c>
      <x:c r="AD24" s="40" t="n">
        <x:f>'01_入力ページ'!AD37</x:f>
        <x:v>280</x:v>
      </x:c>
      <x:c r="AE24" s="40" t="n">
        <x:f>'01_入力ページ'!AE37</x:f>
        <x:v>280</x:v>
      </x:c>
      <x:c r="AF24" s="40" t="n">
        <x:f>'01_入力ページ'!AF37</x:f>
        <x:v>280</x:v>
      </x:c>
      <x:c r="AG24" s="40" t="n">
        <x:f>'01_入力ページ'!AG37</x:f>
        <x:v>280</x:v>
      </x:c>
      <x:c r="AH24" s="40" t="n">
        <x:f>'01_入力ページ'!AH37</x:f>
        <x:v>280</x:v>
      </x:c>
      <x:c r="AI24" s="40" t="n">
        <x:f>'01_入力ページ'!AI37</x:f>
        <x:v>280</x:v>
      </x:c>
      <x:c r="AJ24" s="40" t="n">
        <x:f>'01_入力ページ'!AJ37</x:f>
        <x:v>280</x:v>
      </x:c>
      <x:c r="AK24" s="40" t="n">
        <x:f>'01_入力ページ'!AK37</x:f>
        <x:v>280</x:v>
      </x:c>
      <x:c r="AL24" s="40" t="n">
        <x:f>'01_入力ページ'!AL37</x:f>
        <x:v>280</x:v>
      </x:c>
      <x:c r="AM24" s="40" t="n">
        <x:f>'01_入力ページ'!AM37</x:f>
        <x:v>280</x:v>
      </x:c>
      <x:c r="AN24" s="40" t="n">
        <x:f>'01_入力ページ'!AN37</x:f>
        <x:v>280</x:v>
      </x:c>
      <x:c r="AO24" s="40" t="n">
        <x:f>'01_入力ページ'!AO37</x:f>
        <x:v>280</x:v>
      </x:c>
      <x:c r="AP24" s="40" t="n">
        <x:f>'01_入力ページ'!AP37</x:f>
        <x:v>280</x:v>
      </x:c>
      <x:c r="AQ24" s="40" t="n">
        <x:f>'01_入力ページ'!AQ37</x:f>
        <x:v>280</x:v>
      </x:c>
      <x:c r="AR24" s="40" t="n">
        <x:f>'01_入力ページ'!AR37</x:f>
        <x:v>280</x:v>
      </x:c>
      <x:c r="AS24" s="40" t="n">
        <x:f>'01_入力ページ'!AS37</x:f>
        <x:v>280</x:v>
      </x:c>
      <x:c r="AT24" s="40" t="n">
        <x:f>'01_入力ページ'!AT37</x:f>
        <x:v>280</x:v>
      </x:c>
      <x:c r="AU24" s="40" t="n">
        <x:f>'01_入力ページ'!AU37</x:f>
        <x:v>280</x:v>
      </x:c>
      <x:c r="AV24" s="40" t="n">
        <x:f>'01_入力ページ'!AV37</x:f>
        <x:v>280</x:v>
      </x:c>
      <x:c r="AW24" s="40" t="n">
        <x:f>'01_入力ページ'!AW37</x:f>
        <x:v>280</x:v>
      </x:c>
      <x:c r="AX24" s="40" t="n">
        <x:f>'01_入力ページ'!AX37</x:f>
        <x:v>280</x:v>
      </x:c>
      <x:c r="AY24" s="40" t="n">
        <x:f>'01_入力ページ'!AY37</x:f>
        <x:v>280</x:v>
      </x:c>
      <x:c r="AZ24" s="40" t="n">
        <x:f>'01_入力ページ'!AZ37</x:f>
        <x:v>280</x:v>
      </x:c>
      <x:c r="BA24" s="40" t="n">
        <x:f>'01_入力ページ'!BA37</x:f>
        <x:v>280</x:v>
      </x:c>
      <x:c r="BB24" s="40" t="n">
        <x:f>'01_入力ページ'!BB37</x:f>
        <x:v>280</x:v>
      </x:c>
      <x:c r="BC24" s="40" t="n">
        <x:f>'01_入力ページ'!BC37</x:f>
        <x:v>280</x:v>
      </x:c>
      <x:c r="BD24" s="40" t="n">
        <x:f>'01_入力ページ'!BD37</x:f>
        <x:v>280</x:v>
      </x:c>
      <x:c r="BE24" s="40" t="n">
        <x:f>'01_入力ページ'!BE37</x:f>
        <x:v>280</x:v>
      </x:c>
      <x:c r="BF24" s="40" t="n">
        <x:f>'01_入力ページ'!BF37</x:f>
        <x:v>280</x:v>
      </x:c>
      <x:c r="BG24" s="40" t="n">
        <x:f>'01_入力ページ'!BG37</x:f>
        <x:v>280</x:v>
      </x:c>
      <x:c r="BH24" s="40" t="n">
        <x:f>'01_入力ページ'!BH37</x:f>
        <x:v>280</x:v>
      </x:c>
      <x:c r="BI24" s="40" t="n">
        <x:f>'01_入力ページ'!BI37</x:f>
        <x:v>280</x:v>
      </x:c>
      <x:c r="BJ24" s="40" t="n">
        <x:f>'01_入力ページ'!BJ37</x:f>
        <x:v>280</x:v>
      </x:c>
    </x:row>
    <x:row r="25">
      <x:c r="A25" s="12" t="str">
        <x:v>利益</x:v>
      </x:c>
      <x:c r="B25" s="12" t="str">
        <x:v>GOP before MC</x:v>
      </x:c>
      <x:c r="C25" s="40" t="n">
        <x:f>'01_入力ページ'!C40</x:f>
        <x:v>248.2550000000001</x:v>
      </x:c>
      <x:c r="D25" s="40" t="n">
        <x:f>'01_入力ページ'!D40</x:f>
        <x:v>265.8634999999998</x:v>
      </x:c>
      <x:c r="E25" s="40" t="n">
        <x:f>'01_入力ページ'!E40</x:f>
        <x:v>248.2550000000001</x:v>
      </x:c>
      <x:c r="F25" s="40" t="n">
        <x:f>'01_入力ページ'!F40</x:f>
        <x:v>2629.226000000001</x:v>
      </x:c>
      <x:c r="G25" s="40" t="n">
        <x:f>'01_入力ページ'!G40</x:f>
        <x:v>2629.226000000001</x:v>
      </x:c>
      <x:c r="H25" s="40" t="n">
        <x:f>'01_入力ページ'!H40</x:f>
        <x:v>248.2550000000001</x:v>
      </x:c>
      <x:c r="I25" s="40" t="n">
        <x:f>'01_入力ページ'!I40</x:f>
        <x:v>265.8634999999998</x:v>
      </x:c>
      <x:c r="J25" s="40" t="n">
        <x:f>'01_入力ページ'!J40</x:f>
        <x:v>248.2550000000001</x:v>
      </x:c>
      <x:c r="K25" s="40" t="n">
        <x:f>'01_入力ページ'!K40</x:f>
        <x:v>2629.226000000001</x:v>
      </x:c>
      <x:c r="L25" s="40" t="n">
        <x:f>'01_入力ページ'!L40</x:f>
        <x:v>4725.7715</x:v>
      </x:c>
      <x:c r="M25" s="40" t="n">
        <x:f>'01_入力ページ'!M40</x:f>
        <x:v>4241.341999999999</x:v>
      </x:c>
      <x:c r="N25" s="40" t="n">
        <x:f>'01_入力ページ'!N40</x:f>
        <x:v>790.6625000000001</x:v>
      </x:c>
      <x:c r="O25" s="40" t="n">
        <x:f>'01_入力ページ'!O40</x:f>
        <x:v>248.2550000000001</x:v>
      </x:c>
      <x:c r="P25" s="40" t="n">
        <x:f>'01_入力ページ'!P40</x:f>
        <x:v>265.8634999999998</x:v>
      </x:c>
      <x:c r="Q25" s="40" t="n">
        <x:f>'01_入力ページ'!Q40</x:f>
        <x:v>248.2550000000001</x:v>
      </x:c>
      <x:c r="R25" s="40" t="n">
        <x:f>'01_入力ページ'!R40</x:f>
        <x:v>2629.226000000001</x:v>
      </x:c>
      <x:c r="S25" s="40" t="n">
        <x:f>'01_入力ページ'!S40</x:f>
        <x:v>2629.226000000001</x:v>
      </x:c>
      <x:c r="T25" s="40" t="n">
        <x:f>'01_入力ページ'!T40</x:f>
        <x:v>248.2550000000001</x:v>
      </x:c>
      <x:c r="U25" s="40" t="n">
        <x:f>'01_入力ページ'!U40</x:f>
        <x:v>265.8634999999998</x:v>
      </x:c>
      <x:c r="V25" s="40" t="n">
        <x:f>'01_入力ページ'!V40</x:f>
        <x:v>248.2550000000001</x:v>
      </x:c>
      <x:c r="W25" s="40" t="n">
        <x:f>'01_入力ページ'!W40</x:f>
        <x:v>2629.226000000001</x:v>
      </x:c>
      <x:c r="X25" s="40" t="n">
        <x:f>'01_入力ページ'!X40</x:f>
        <x:v>4725.7715</x:v>
      </x:c>
      <x:c r="Y25" s="40" t="n">
        <x:f>'01_入力ページ'!Y40</x:f>
        <x:v>4402.818499999999</x:v>
      </x:c>
      <x:c r="Z25" s="40" t="n">
        <x:f>'01_入力ページ'!Z40</x:f>
        <x:v>790.6625000000001</x:v>
      </x:c>
      <x:c r="AA25" s="40" t="n">
        <x:f>'01_入力ページ'!AA40</x:f>
        <x:v>248.2550000000001</x:v>
      </x:c>
      <x:c r="AB25" s="40" t="n">
        <x:f>'01_入力ページ'!AB40</x:f>
        <x:v>265.8634999999998</x:v>
      </x:c>
      <x:c r="AC25" s="40" t="n">
        <x:f>'01_入力ページ'!AC40</x:f>
        <x:v>248.2550000000001</x:v>
      </x:c>
      <x:c r="AD25" s="40" t="n">
        <x:f>'01_入力ページ'!AD40</x:f>
        <x:v>2629.226000000001</x:v>
      </x:c>
      <x:c r="AE25" s="40" t="n">
        <x:f>'01_入力ページ'!AE40</x:f>
        <x:v>2629.226000000001</x:v>
      </x:c>
      <x:c r="AF25" s="40" t="n">
        <x:f>'01_入力ページ'!AF40</x:f>
        <x:v>248.2550000000001</x:v>
      </x:c>
      <x:c r="AG25" s="40" t="n">
        <x:f>'01_入力ページ'!AG40</x:f>
        <x:v>265.8634999999998</x:v>
      </x:c>
      <x:c r="AH25" s="40" t="n">
        <x:f>'01_入力ページ'!AH40</x:f>
        <x:v>248.2550000000001</x:v>
      </x:c>
      <x:c r="AI25" s="40" t="n">
        <x:f>'01_入力ページ'!AI40</x:f>
        <x:v>2629.226000000001</x:v>
      </x:c>
      <x:c r="AJ25" s="40" t="n">
        <x:f>'01_入力ページ'!AJ40</x:f>
        <x:v>4725.7715</x:v>
      </x:c>
      <x:c r="AK25" s="40" t="n">
        <x:f>'01_入力ページ'!AK40</x:f>
        <x:v>4241.341999999999</x:v>
      </x:c>
      <x:c r="AL25" s="40" t="n">
        <x:f>'01_入力ページ'!AL40</x:f>
        <x:v>790.6625000000001</x:v>
      </x:c>
      <x:c r="AM25" s="40" t="n">
        <x:f>'01_入力ページ'!AM40</x:f>
        <x:v>248.2550000000001</x:v>
      </x:c>
      <x:c r="AN25" s="40" t="n">
        <x:f>'01_入力ページ'!AN40</x:f>
        <x:v>265.8634999999998</x:v>
      </x:c>
      <x:c r="AO25" s="40" t="n">
        <x:f>'01_入力ページ'!AO40</x:f>
        <x:v>248.2550000000001</x:v>
      </x:c>
      <x:c r="AP25" s="40" t="n">
        <x:f>'01_入力ページ'!AP40</x:f>
        <x:v>2629.226000000001</x:v>
      </x:c>
      <x:c r="AQ25" s="40" t="n">
        <x:f>'01_入力ページ'!AQ40</x:f>
        <x:v>2629.226000000001</x:v>
      </x:c>
      <x:c r="AR25" s="40" t="n">
        <x:f>'01_入力ページ'!AR40</x:f>
        <x:v>248.2550000000001</x:v>
      </x:c>
      <x:c r="AS25" s="40" t="n">
        <x:f>'01_入力ページ'!AS40</x:f>
        <x:v>265.8634999999998</x:v>
      </x:c>
      <x:c r="AT25" s="40" t="n">
        <x:f>'01_入力ページ'!AT40</x:f>
        <x:v>248.2550000000001</x:v>
      </x:c>
      <x:c r="AU25" s="40" t="n">
        <x:f>'01_入力ページ'!AU40</x:f>
        <x:v>2629.226000000001</x:v>
      </x:c>
      <x:c r="AV25" s="40" t="n">
        <x:f>'01_入力ページ'!AV40</x:f>
        <x:v>4725.7715</x:v>
      </x:c>
      <x:c r="AW25" s="40" t="n">
        <x:f>'01_入力ページ'!AW40</x:f>
        <x:v>4241.341999999999</x:v>
      </x:c>
      <x:c r="AX25" s="40" t="n">
        <x:f>'01_入力ページ'!AX40</x:f>
        <x:v>790.6625000000001</x:v>
      </x:c>
      <x:c r="AY25" s="40" t="n">
        <x:f>'01_入力ページ'!AY40</x:f>
        <x:v>248.2550000000001</x:v>
      </x:c>
      <x:c r="AZ25" s="40" t="n">
        <x:f>'01_入力ページ'!AZ40</x:f>
        <x:v>265.8634999999998</x:v>
      </x:c>
      <x:c r="BA25" s="40" t="n">
        <x:f>'01_入力ページ'!BA40</x:f>
        <x:v>248.2550000000001</x:v>
      </x:c>
      <x:c r="BB25" s="40" t="n">
        <x:f>'01_入力ページ'!BB40</x:f>
        <x:v>2629.226000000001</x:v>
      </x:c>
      <x:c r="BC25" s="40" t="n">
        <x:f>'01_入力ページ'!BC40</x:f>
        <x:v>2629.226000000001</x:v>
      </x:c>
      <x:c r="BD25" s="40" t="n">
        <x:f>'01_入力ページ'!BD40</x:f>
        <x:v>248.2550000000001</x:v>
      </x:c>
      <x:c r="BE25" s="40" t="n">
        <x:f>'01_入力ページ'!BE40</x:f>
        <x:v>265.8634999999998</x:v>
      </x:c>
      <x:c r="BF25" s="40" t="n">
        <x:f>'01_入力ページ'!BF40</x:f>
        <x:v>248.2550000000001</x:v>
      </x:c>
      <x:c r="BG25" s="40" t="n">
        <x:f>'01_入力ページ'!BG40</x:f>
        <x:v>2629.226000000001</x:v>
      </x:c>
      <x:c r="BH25" s="40" t="n">
        <x:f>'01_入力ページ'!BH40</x:f>
        <x:v>4725.7715</x:v>
      </x:c>
      <x:c r="BI25" s="40" t="n">
        <x:f>'01_入力ページ'!BI40</x:f>
        <x:v>4241.341999999999</x:v>
      </x:c>
      <x:c r="BJ25" s="40" t="n">
        <x:f>'01_入力ページ'!BJ40</x:f>
        <x:v>790.6625000000001</x:v>
      </x:c>
    </x:row>
    <x:row r="26">
      <x:c r="A26" s="12" t="str">
        <x:v>MC</x:v>
      </x:c>
      <x:c r="B26" s="12" t="str">
        <x:v>MC固定費</x:v>
      </x:c>
      <x:c r="C26" s="40" t="n">
        <x:f>'01_入力ページ'!C38</x:f>
        <x:v>150</x:v>
      </x:c>
      <x:c r="D26" s="40" t="n">
        <x:f>'01_入力ページ'!D38</x:f>
        <x:v>150</x:v>
      </x:c>
      <x:c r="E26" s="40" t="n">
        <x:f>'01_入力ページ'!E38</x:f>
        <x:v>150</x:v>
      </x:c>
      <x:c r="F26" s="40" t="n">
        <x:f>'01_入力ページ'!F38</x:f>
        <x:v>150</x:v>
      </x:c>
      <x:c r="G26" s="40" t="n">
        <x:f>'01_入力ページ'!G38</x:f>
        <x:v>150</x:v>
      </x:c>
      <x:c r="H26" s="40" t="n">
        <x:f>'01_入力ページ'!H38</x:f>
        <x:v>150</x:v>
      </x:c>
      <x:c r="I26" s="40" t="n">
        <x:f>'01_入力ページ'!I38</x:f>
        <x:v>150</x:v>
      </x:c>
      <x:c r="J26" s="40" t="n">
        <x:f>'01_入力ページ'!J38</x:f>
        <x:v>150</x:v>
      </x:c>
      <x:c r="K26" s="40" t="n">
        <x:f>'01_入力ページ'!K38</x:f>
        <x:v>150</x:v>
      </x:c>
      <x:c r="L26" s="40" t="n">
        <x:f>'01_入力ページ'!L38</x:f>
        <x:v>150</x:v>
      </x:c>
      <x:c r="M26" s="40" t="n">
        <x:f>'01_入力ページ'!M38</x:f>
        <x:v>150</x:v>
      </x:c>
      <x:c r="N26" s="40" t="n">
        <x:f>'01_入力ページ'!N38</x:f>
        <x:v>150</x:v>
      </x:c>
      <x:c r="O26" s="40" t="n">
        <x:f>'01_入力ページ'!O38</x:f>
        <x:v>150</x:v>
      </x:c>
      <x:c r="P26" s="40" t="n">
        <x:f>'01_入力ページ'!P38</x:f>
        <x:v>150</x:v>
      </x:c>
      <x:c r="Q26" s="40" t="n">
        <x:f>'01_入力ページ'!Q38</x:f>
        <x:v>150</x:v>
      </x:c>
      <x:c r="R26" s="40" t="n">
        <x:f>'01_入力ページ'!R38</x:f>
        <x:v>150</x:v>
      </x:c>
      <x:c r="S26" s="40" t="n">
        <x:f>'01_入力ページ'!S38</x:f>
        <x:v>150</x:v>
      </x:c>
      <x:c r="T26" s="40" t="n">
        <x:f>'01_入力ページ'!T38</x:f>
        <x:v>150</x:v>
      </x:c>
      <x:c r="U26" s="40" t="n">
        <x:f>'01_入力ページ'!U38</x:f>
        <x:v>150</x:v>
      </x:c>
      <x:c r="V26" s="40" t="n">
        <x:f>'01_入力ページ'!V38</x:f>
        <x:v>150</x:v>
      </x:c>
      <x:c r="W26" s="40" t="n">
        <x:f>'01_入力ページ'!W38</x:f>
        <x:v>150</x:v>
      </x:c>
      <x:c r="X26" s="40" t="n">
        <x:f>'01_入力ページ'!X38</x:f>
        <x:v>150</x:v>
      </x:c>
      <x:c r="Y26" s="40" t="n">
        <x:f>'01_入力ページ'!Y38</x:f>
        <x:v>150</x:v>
      </x:c>
      <x:c r="Z26" s="40" t="n">
        <x:f>'01_入力ページ'!Z38</x:f>
        <x:v>150</x:v>
      </x:c>
      <x:c r="AA26" s="40" t="n">
        <x:f>'01_入力ページ'!AA38</x:f>
        <x:v>150</x:v>
      </x:c>
      <x:c r="AB26" s="40" t="n">
        <x:f>'01_入力ページ'!AB38</x:f>
        <x:v>150</x:v>
      </x:c>
      <x:c r="AC26" s="40" t="n">
        <x:f>'01_入力ページ'!AC38</x:f>
        <x:v>150</x:v>
      </x:c>
      <x:c r="AD26" s="40" t="n">
        <x:f>'01_入力ページ'!AD38</x:f>
        <x:v>150</x:v>
      </x:c>
      <x:c r="AE26" s="40" t="n">
        <x:f>'01_入力ページ'!AE38</x:f>
        <x:v>150</x:v>
      </x:c>
      <x:c r="AF26" s="40" t="n">
        <x:f>'01_入力ページ'!AF38</x:f>
        <x:v>150</x:v>
      </x:c>
      <x:c r="AG26" s="40" t="n">
        <x:f>'01_入力ページ'!AG38</x:f>
        <x:v>150</x:v>
      </x:c>
      <x:c r="AH26" s="40" t="n">
        <x:f>'01_入力ページ'!AH38</x:f>
        <x:v>150</x:v>
      </x:c>
      <x:c r="AI26" s="40" t="n">
        <x:f>'01_入力ページ'!AI38</x:f>
        <x:v>150</x:v>
      </x:c>
      <x:c r="AJ26" s="40" t="n">
        <x:f>'01_入力ページ'!AJ38</x:f>
        <x:v>150</x:v>
      </x:c>
      <x:c r="AK26" s="40" t="n">
        <x:f>'01_入力ページ'!AK38</x:f>
        <x:v>150</x:v>
      </x:c>
      <x:c r="AL26" s="40" t="n">
        <x:f>'01_入力ページ'!AL38</x:f>
        <x:v>150</x:v>
      </x:c>
      <x:c r="AM26" s="40" t="n">
        <x:f>'01_入力ページ'!AM38</x:f>
        <x:v>150</x:v>
      </x:c>
      <x:c r="AN26" s="40" t="n">
        <x:f>'01_入力ページ'!AN38</x:f>
        <x:v>150</x:v>
      </x:c>
      <x:c r="AO26" s="40" t="n">
        <x:f>'01_入力ページ'!AO38</x:f>
        <x:v>150</x:v>
      </x:c>
      <x:c r="AP26" s="40" t="n">
        <x:f>'01_入力ページ'!AP38</x:f>
        <x:v>150</x:v>
      </x:c>
      <x:c r="AQ26" s="40" t="n">
        <x:f>'01_入力ページ'!AQ38</x:f>
        <x:v>150</x:v>
      </x:c>
      <x:c r="AR26" s="40" t="n">
        <x:f>'01_入力ページ'!AR38</x:f>
        <x:v>150</x:v>
      </x:c>
      <x:c r="AS26" s="40" t="n">
        <x:f>'01_入力ページ'!AS38</x:f>
        <x:v>150</x:v>
      </x:c>
      <x:c r="AT26" s="40" t="n">
        <x:f>'01_入力ページ'!AT38</x:f>
        <x:v>150</x:v>
      </x:c>
      <x:c r="AU26" s="40" t="n">
        <x:f>'01_入力ページ'!AU38</x:f>
        <x:v>150</x:v>
      </x:c>
      <x:c r="AV26" s="40" t="n">
        <x:f>'01_入力ページ'!AV38</x:f>
        <x:v>150</x:v>
      </x:c>
      <x:c r="AW26" s="40" t="n">
        <x:f>'01_入力ページ'!AW38</x:f>
        <x:v>150</x:v>
      </x:c>
      <x:c r="AX26" s="40" t="n">
        <x:f>'01_入力ページ'!AX38</x:f>
        <x:v>150</x:v>
      </x:c>
      <x:c r="AY26" s="40" t="n">
        <x:f>'01_入力ページ'!AY38</x:f>
        <x:v>150</x:v>
      </x:c>
      <x:c r="AZ26" s="40" t="n">
        <x:f>'01_入力ページ'!AZ38</x:f>
        <x:v>150</x:v>
      </x:c>
      <x:c r="BA26" s="40" t="n">
        <x:f>'01_入力ページ'!BA38</x:f>
        <x:v>150</x:v>
      </x:c>
      <x:c r="BB26" s="40" t="n">
        <x:f>'01_入力ページ'!BB38</x:f>
        <x:v>150</x:v>
      </x:c>
      <x:c r="BC26" s="40" t="n">
        <x:f>'01_入力ページ'!BC38</x:f>
        <x:v>150</x:v>
      </x:c>
      <x:c r="BD26" s="40" t="n">
        <x:f>'01_入力ページ'!BD38</x:f>
        <x:v>150</x:v>
      </x:c>
      <x:c r="BE26" s="40" t="n">
        <x:f>'01_入力ページ'!BE38</x:f>
        <x:v>150</x:v>
      </x:c>
      <x:c r="BF26" s="40" t="n">
        <x:f>'01_入力ページ'!BF38</x:f>
        <x:v>150</x:v>
      </x:c>
      <x:c r="BG26" s="40" t="n">
        <x:f>'01_入力ページ'!BG38</x:f>
        <x:v>150</x:v>
      </x:c>
      <x:c r="BH26" s="40" t="n">
        <x:f>'01_入力ページ'!BH38</x:f>
        <x:v>150</x:v>
      </x:c>
      <x:c r="BI26" s="40" t="n">
        <x:f>'01_入力ページ'!BI38</x:f>
        <x:v>150</x:v>
      </x:c>
      <x:c r="BJ26" s="40" t="n">
        <x:f>'01_入力ページ'!BJ38</x:f>
        <x:v>150</x:v>
      </x:c>
    </x:row>
    <x:row r="27">
      <x:c r="A27" s="12" t="str">
        <x:v>MC</x:v>
      </x:c>
      <x:c r="B27" s="12" t="str">
        <x:v>MC変動費</x:v>
      </x:c>
      <x:c r="C27" s="40" t="n">
        <x:f>'01_入力ページ'!C41</x:f>
        <x:v>37.238250000000015</x:v>
      </x:c>
      <x:c r="D27" s="40" t="n">
        <x:f>'01_入力ページ'!D41</x:f>
        <x:v>39.87952499999997</x:v>
      </x:c>
      <x:c r="E27" s="40" t="n">
        <x:f>'01_入力ページ'!E41</x:f>
        <x:v>37.238250000000015</x:v>
      </x:c>
      <x:c r="F27" s="40" t="n">
        <x:f>'01_入力ページ'!F41</x:f>
        <x:v>394.38390000000015</x:v>
      </x:c>
      <x:c r="G27" s="40" t="n">
        <x:f>'01_入力ページ'!G41</x:f>
        <x:v>394.38390000000015</x:v>
      </x:c>
      <x:c r="H27" s="40" t="n">
        <x:f>'01_入力ページ'!H41</x:f>
        <x:v>37.238250000000015</x:v>
      </x:c>
      <x:c r="I27" s="40" t="n">
        <x:f>'01_入力ページ'!I41</x:f>
        <x:v>39.87952499999997</x:v>
      </x:c>
      <x:c r="J27" s="40" t="n">
        <x:f>'01_入力ページ'!J41</x:f>
        <x:v>37.238250000000015</x:v>
      </x:c>
      <x:c r="K27" s="40" t="n">
        <x:f>'01_入力ページ'!K41</x:f>
        <x:v>394.38390000000015</x:v>
      </x:c>
      <x:c r="L27" s="40" t="n">
        <x:f>'01_入力ページ'!L41</x:f>
        <x:v>708.865725</x:v>
      </x:c>
      <x:c r="M27" s="40" t="n">
        <x:f>'01_入力ページ'!M41</x:f>
        <x:v>636.2012999999998</x:v>
      </x:c>
      <x:c r="N27" s="40" t="n">
        <x:f>'01_入力ページ'!N41</x:f>
        <x:v>118.59937500000001</x:v>
      </x:c>
      <x:c r="O27" s="40" t="n">
        <x:f>'01_入力ページ'!O41</x:f>
        <x:v>37.238250000000015</x:v>
      </x:c>
      <x:c r="P27" s="40" t="n">
        <x:f>'01_入力ページ'!P41</x:f>
        <x:v>39.87952499999997</x:v>
      </x:c>
      <x:c r="Q27" s="40" t="n">
        <x:f>'01_入力ページ'!Q41</x:f>
        <x:v>37.238250000000015</x:v>
      </x:c>
      <x:c r="R27" s="40" t="n">
        <x:f>'01_入力ページ'!R41</x:f>
        <x:v>394.38390000000015</x:v>
      </x:c>
      <x:c r="S27" s="40" t="n">
        <x:f>'01_入力ページ'!S41</x:f>
        <x:v>394.38390000000015</x:v>
      </x:c>
      <x:c r="T27" s="40" t="n">
        <x:f>'01_入力ページ'!T41</x:f>
        <x:v>37.238250000000015</x:v>
      </x:c>
      <x:c r="U27" s="40" t="n">
        <x:f>'01_入力ページ'!U41</x:f>
        <x:v>39.87952499999997</x:v>
      </x:c>
      <x:c r="V27" s="40" t="n">
        <x:f>'01_入力ページ'!V41</x:f>
        <x:v>37.238250000000015</x:v>
      </x:c>
      <x:c r="W27" s="40" t="n">
        <x:f>'01_入力ページ'!W41</x:f>
        <x:v>394.38390000000015</x:v>
      </x:c>
      <x:c r="X27" s="40" t="n">
        <x:f>'01_入力ページ'!X41</x:f>
        <x:v>708.865725</x:v>
      </x:c>
      <x:c r="Y27" s="40" t="n">
        <x:f>'01_入力ページ'!Y41</x:f>
        <x:v>660.4227749999999</x:v>
      </x:c>
      <x:c r="Z27" s="40" t="n">
        <x:f>'01_入力ページ'!Z41</x:f>
        <x:v>118.59937500000001</x:v>
      </x:c>
      <x:c r="AA27" s="40" t="n">
        <x:f>'01_入力ページ'!AA41</x:f>
        <x:v>37.238250000000015</x:v>
      </x:c>
      <x:c r="AB27" s="40" t="n">
        <x:f>'01_入力ページ'!AB41</x:f>
        <x:v>39.87952499999997</x:v>
      </x:c>
      <x:c r="AC27" s="40" t="n">
        <x:f>'01_入力ページ'!AC41</x:f>
        <x:v>37.238250000000015</x:v>
      </x:c>
      <x:c r="AD27" s="40" t="n">
        <x:f>'01_入力ページ'!AD41</x:f>
        <x:v>394.38390000000015</x:v>
      </x:c>
      <x:c r="AE27" s="40" t="n">
        <x:f>'01_入力ページ'!AE41</x:f>
        <x:v>394.38390000000015</x:v>
      </x:c>
      <x:c r="AF27" s="40" t="n">
        <x:f>'01_入力ページ'!AF41</x:f>
        <x:v>37.238250000000015</x:v>
      </x:c>
      <x:c r="AG27" s="40" t="n">
        <x:f>'01_入力ページ'!AG41</x:f>
        <x:v>39.87952499999997</x:v>
      </x:c>
      <x:c r="AH27" s="40" t="n">
        <x:f>'01_入力ページ'!AH41</x:f>
        <x:v>37.238250000000015</x:v>
      </x:c>
      <x:c r="AI27" s="40" t="n">
        <x:f>'01_入力ページ'!AI41</x:f>
        <x:v>394.38390000000015</x:v>
      </x:c>
      <x:c r="AJ27" s="40" t="n">
        <x:f>'01_入力ページ'!AJ41</x:f>
        <x:v>708.865725</x:v>
      </x:c>
      <x:c r="AK27" s="40" t="n">
        <x:f>'01_入力ページ'!AK41</x:f>
        <x:v>636.2012999999998</x:v>
      </x:c>
      <x:c r="AL27" s="40" t="n">
        <x:f>'01_入力ページ'!AL41</x:f>
        <x:v>118.59937500000001</x:v>
      </x:c>
      <x:c r="AM27" s="40" t="n">
        <x:f>'01_入力ページ'!AM41</x:f>
        <x:v>37.238250000000015</x:v>
      </x:c>
      <x:c r="AN27" s="40" t="n">
        <x:f>'01_入力ページ'!AN41</x:f>
        <x:v>39.87952499999997</x:v>
      </x:c>
      <x:c r="AO27" s="40" t="n">
        <x:f>'01_入力ページ'!AO41</x:f>
        <x:v>37.238250000000015</x:v>
      </x:c>
      <x:c r="AP27" s="40" t="n">
        <x:f>'01_入力ページ'!AP41</x:f>
        <x:v>394.38390000000015</x:v>
      </x:c>
      <x:c r="AQ27" s="40" t="n">
        <x:f>'01_入力ページ'!AQ41</x:f>
        <x:v>394.38390000000015</x:v>
      </x:c>
      <x:c r="AR27" s="40" t="n">
        <x:f>'01_入力ページ'!AR41</x:f>
        <x:v>37.238250000000015</x:v>
      </x:c>
      <x:c r="AS27" s="40" t="n">
        <x:f>'01_入力ページ'!AS41</x:f>
        <x:v>39.87952499999997</x:v>
      </x:c>
      <x:c r="AT27" s="40" t="n">
        <x:f>'01_入力ページ'!AT41</x:f>
        <x:v>37.238250000000015</x:v>
      </x:c>
      <x:c r="AU27" s="40" t="n">
        <x:f>'01_入力ページ'!AU41</x:f>
        <x:v>394.38390000000015</x:v>
      </x:c>
      <x:c r="AV27" s="40" t="n">
        <x:f>'01_入力ページ'!AV41</x:f>
        <x:v>708.865725</x:v>
      </x:c>
      <x:c r="AW27" s="40" t="n">
        <x:f>'01_入力ページ'!AW41</x:f>
        <x:v>636.2012999999998</x:v>
      </x:c>
      <x:c r="AX27" s="40" t="n">
        <x:f>'01_入力ページ'!AX41</x:f>
        <x:v>118.59937500000001</x:v>
      </x:c>
      <x:c r="AY27" s="40" t="n">
        <x:f>'01_入力ページ'!AY41</x:f>
        <x:v>37.238250000000015</x:v>
      </x:c>
      <x:c r="AZ27" s="40" t="n">
        <x:f>'01_入力ページ'!AZ41</x:f>
        <x:v>39.87952499999997</x:v>
      </x:c>
      <x:c r="BA27" s="40" t="n">
        <x:f>'01_入力ページ'!BA41</x:f>
        <x:v>37.238250000000015</x:v>
      </x:c>
      <x:c r="BB27" s="40" t="n">
        <x:f>'01_入力ページ'!BB41</x:f>
        <x:v>394.38390000000015</x:v>
      </x:c>
      <x:c r="BC27" s="40" t="n">
        <x:f>'01_入力ページ'!BC41</x:f>
        <x:v>394.38390000000015</x:v>
      </x:c>
      <x:c r="BD27" s="40" t="n">
        <x:f>'01_入力ページ'!BD41</x:f>
        <x:v>37.238250000000015</x:v>
      </x:c>
      <x:c r="BE27" s="40" t="n">
        <x:f>'01_入力ページ'!BE41</x:f>
        <x:v>39.87952499999997</x:v>
      </x:c>
      <x:c r="BF27" s="40" t="n">
        <x:f>'01_入力ページ'!BF41</x:f>
        <x:v>37.238250000000015</x:v>
      </x:c>
      <x:c r="BG27" s="40" t="n">
        <x:f>'01_入力ページ'!BG41</x:f>
        <x:v>394.38390000000015</x:v>
      </x:c>
      <x:c r="BH27" s="40" t="n">
        <x:f>'01_入力ページ'!BH41</x:f>
        <x:v>708.865725</x:v>
      </x:c>
      <x:c r="BI27" s="40" t="n">
        <x:f>'01_入力ページ'!BI41</x:f>
        <x:v>636.2012999999998</x:v>
      </x:c>
      <x:c r="BJ27" s="40" t="n">
        <x:f>'01_入力ページ'!BJ41</x:f>
        <x:v>118.59937500000001</x:v>
      </x:c>
    </x:row>
    <x:row r="28">
      <x:c r="A28" s="12" t="str">
        <x:v>MC</x:v>
      </x:c>
      <x:c r="B28" s="12" t="str">
        <x:v>MCコスト合計</x:v>
      </x:c>
      <x:c r="C28" s="40" t="n">
        <x:f>'01_入力ページ'!C42</x:f>
        <x:v>187.23825000000002</x:v>
      </x:c>
      <x:c r="D28" s="40" t="n">
        <x:f>'01_入力ページ'!D42</x:f>
        <x:v>189.87952499999997</x:v>
      </x:c>
      <x:c r="E28" s="40" t="n">
        <x:f>'01_入力ページ'!E42</x:f>
        <x:v>187.23825000000002</x:v>
      </x:c>
      <x:c r="F28" s="40" t="n">
        <x:f>'01_入力ページ'!F42</x:f>
        <x:v>544.3839000000002</x:v>
      </x:c>
      <x:c r="G28" s="40" t="n">
        <x:f>'01_入力ページ'!G42</x:f>
        <x:v>544.3839000000002</x:v>
      </x:c>
      <x:c r="H28" s="40" t="n">
        <x:f>'01_入力ページ'!H42</x:f>
        <x:v>187.23825000000002</x:v>
      </x:c>
      <x:c r="I28" s="40" t="n">
        <x:f>'01_入力ページ'!I42</x:f>
        <x:v>189.87952499999997</x:v>
      </x:c>
      <x:c r="J28" s="40" t="n">
        <x:f>'01_入力ページ'!J42</x:f>
        <x:v>187.23825000000002</x:v>
      </x:c>
      <x:c r="K28" s="40" t="n">
        <x:f>'01_入力ページ'!K42</x:f>
        <x:v>544.3839000000002</x:v>
      </x:c>
      <x:c r="L28" s="40" t="n">
        <x:f>'01_入力ページ'!L42</x:f>
        <x:v>858.865725</x:v>
      </x:c>
      <x:c r="M28" s="40" t="n">
        <x:f>'01_入力ページ'!M42</x:f>
        <x:v>786.2012999999998</x:v>
      </x:c>
      <x:c r="N28" s="40" t="n">
        <x:f>'01_入力ページ'!N42</x:f>
        <x:v>268.599375</x:v>
      </x:c>
      <x:c r="O28" s="40" t="n">
        <x:f>'01_入力ページ'!O42</x:f>
        <x:v>187.23825000000002</x:v>
      </x:c>
      <x:c r="P28" s="40" t="n">
        <x:f>'01_入力ページ'!P42</x:f>
        <x:v>189.87952499999997</x:v>
      </x:c>
      <x:c r="Q28" s="40" t="n">
        <x:f>'01_入力ページ'!Q42</x:f>
        <x:v>187.23825000000002</x:v>
      </x:c>
      <x:c r="R28" s="40" t="n">
        <x:f>'01_入力ページ'!R42</x:f>
        <x:v>544.3839000000002</x:v>
      </x:c>
      <x:c r="S28" s="40" t="n">
        <x:f>'01_入力ページ'!S42</x:f>
        <x:v>544.3839000000002</x:v>
      </x:c>
      <x:c r="T28" s="40" t="n">
        <x:f>'01_入力ページ'!T42</x:f>
        <x:v>187.23825000000002</x:v>
      </x:c>
      <x:c r="U28" s="40" t="n">
        <x:f>'01_入力ページ'!U42</x:f>
        <x:v>189.87952499999997</x:v>
      </x:c>
      <x:c r="V28" s="40" t="n">
        <x:f>'01_入力ページ'!V42</x:f>
        <x:v>187.23825000000002</x:v>
      </x:c>
      <x:c r="W28" s="40" t="n">
        <x:f>'01_入力ページ'!W42</x:f>
        <x:v>544.3839000000002</x:v>
      </x:c>
      <x:c r="X28" s="40" t="n">
        <x:f>'01_入力ページ'!X42</x:f>
        <x:v>858.865725</x:v>
      </x:c>
      <x:c r="Y28" s="40" t="n">
        <x:f>'01_入力ページ'!Y42</x:f>
        <x:v>810.4227749999999</x:v>
      </x:c>
      <x:c r="Z28" s="40" t="n">
        <x:f>'01_入力ページ'!Z42</x:f>
        <x:v>268.599375</x:v>
      </x:c>
      <x:c r="AA28" s="40" t="n">
        <x:f>'01_入力ページ'!AA42</x:f>
        <x:v>187.23825000000002</x:v>
      </x:c>
      <x:c r="AB28" s="40" t="n">
        <x:f>'01_入力ページ'!AB42</x:f>
        <x:v>189.87952499999997</x:v>
      </x:c>
      <x:c r="AC28" s="40" t="n">
        <x:f>'01_入力ページ'!AC42</x:f>
        <x:v>187.23825000000002</x:v>
      </x:c>
      <x:c r="AD28" s="40" t="n">
        <x:f>'01_入力ページ'!AD42</x:f>
        <x:v>544.3839000000002</x:v>
      </x:c>
      <x:c r="AE28" s="40" t="n">
        <x:f>'01_入力ページ'!AE42</x:f>
        <x:v>544.3839000000002</x:v>
      </x:c>
      <x:c r="AF28" s="40" t="n">
        <x:f>'01_入力ページ'!AF42</x:f>
        <x:v>187.23825000000002</x:v>
      </x:c>
      <x:c r="AG28" s="40" t="n">
        <x:f>'01_入力ページ'!AG42</x:f>
        <x:v>189.87952499999997</x:v>
      </x:c>
      <x:c r="AH28" s="40" t="n">
        <x:f>'01_入力ページ'!AH42</x:f>
        <x:v>187.23825000000002</x:v>
      </x:c>
      <x:c r="AI28" s="40" t="n">
        <x:f>'01_入力ページ'!AI42</x:f>
        <x:v>544.3839000000002</x:v>
      </x:c>
      <x:c r="AJ28" s="40" t="n">
        <x:f>'01_入力ページ'!AJ42</x:f>
        <x:v>858.865725</x:v>
      </x:c>
      <x:c r="AK28" s="40" t="n">
        <x:f>'01_入力ページ'!AK42</x:f>
        <x:v>786.2012999999998</x:v>
      </x:c>
      <x:c r="AL28" s="40" t="n">
        <x:f>'01_入力ページ'!AL42</x:f>
        <x:v>268.599375</x:v>
      </x:c>
      <x:c r="AM28" s="40" t="n">
        <x:f>'01_入力ページ'!AM42</x:f>
        <x:v>187.23825000000002</x:v>
      </x:c>
      <x:c r="AN28" s="40" t="n">
        <x:f>'01_入力ページ'!AN42</x:f>
        <x:v>189.87952499999997</x:v>
      </x:c>
      <x:c r="AO28" s="40" t="n">
        <x:f>'01_入力ページ'!AO42</x:f>
        <x:v>187.23825000000002</x:v>
      </x:c>
      <x:c r="AP28" s="40" t="n">
        <x:f>'01_入力ページ'!AP42</x:f>
        <x:v>544.3839000000002</x:v>
      </x:c>
      <x:c r="AQ28" s="40" t="n">
        <x:f>'01_入力ページ'!AQ42</x:f>
        <x:v>544.3839000000002</x:v>
      </x:c>
      <x:c r="AR28" s="40" t="n">
        <x:f>'01_入力ページ'!AR42</x:f>
        <x:v>187.23825000000002</x:v>
      </x:c>
      <x:c r="AS28" s="40" t="n">
        <x:f>'01_入力ページ'!AS42</x:f>
        <x:v>189.87952499999997</x:v>
      </x:c>
      <x:c r="AT28" s="40" t="n">
        <x:f>'01_入力ページ'!AT42</x:f>
        <x:v>187.23825000000002</x:v>
      </x:c>
      <x:c r="AU28" s="40" t="n">
        <x:f>'01_入力ページ'!AU42</x:f>
        <x:v>544.3839000000002</x:v>
      </x:c>
      <x:c r="AV28" s="40" t="n">
        <x:f>'01_入力ページ'!AV42</x:f>
        <x:v>858.865725</x:v>
      </x:c>
      <x:c r="AW28" s="40" t="n">
        <x:f>'01_入力ページ'!AW42</x:f>
        <x:v>786.2012999999998</x:v>
      </x:c>
      <x:c r="AX28" s="40" t="n">
        <x:f>'01_入力ページ'!AX42</x:f>
        <x:v>268.599375</x:v>
      </x:c>
      <x:c r="AY28" s="40" t="n">
        <x:f>'01_入力ページ'!AY42</x:f>
        <x:v>187.23825000000002</x:v>
      </x:c>
      <x:c r="AZ28" s="40" t="n">
        <x:f>'01_入力ページ'!AZ42</x:f>
        <x:v>189.87952499999997</x:v>
      </x:c>
      <x:c r="BA28" s="40" t="n">
        <x:f>'01_入力ページ'!BA42</x:f>
        <x:v>187.23825000000002</x:v>
      </x:c>
      <x:c r="BB28" s="40" t="n">
        <x:f>'01_入力ページ'!BB42</x:f>
        <x:v>544.3839000000002</x:v>
      </x:c>
      <x:c r="BC28" s="40" t="n">
        <x:f>'01_入力ページ'!BC42</x:f>
        <x:v>544.3839000000002</x:v>
      </x:c>
      <x:c r="BD28" s="40" t="n">
        <x:f>'01_入力ページ'!BD42</x:f>
        <x:v>187.23825000000002</x:v>
      </x:c>
      <x:c r="BE28" s="40" t="n">
        <x:f>'01_入力ページ'!BE42</x:f>
        <x:v>189.87952499999997</x:v>
      </x:c>
      <x:c r="BF28" s="40" t="n">
        <x:f>'01_入力ページ'!BF42</x:f>
        <x:v>187.23825000000002</x:v>
      </x:c>
      <x:c r="BG28" s="40" t="n">
        <x:f>'01_入力ページ'!BG42</x:f>
        <x:v>544.3839000000002</x:v>
      </x:c>
      <x:c r="BH28" s="40" t="n">
        <x:f>'01_入力ページ'!BH42</x:f>
        <x:v>858.865725</x:v>
      </x:c>
      <x:c r="BI28" s="40" t="n">
        <x:f>'01_入力ページ'!BI42</x:f>
        <x:v>786.2012999999998</x:v>
      </x:c>
      <x:c r="BJ28" s="40" t="n">
        <x:f>'01_入力ページ'!BJ42</x:f>
        <x:v>268.599375</x:v>
      </x:c>
    </x:row>
    <x:row r="29">
      <x:c r="A29" s="12" t="str">
        <x:v>利益</x:v>
      </x:c>
      <x:c r="B29" s="12" t="str">
        <x:v>GOP after MC / EBITDA</x:v>
      </x:c>
      <x:c r="C29" s="40" t="n">
        <x:f>C25-C28</x:f>
        <x:v>61.01675000000009</x:v>
      </x:c>
      <x:c r="D29" s="40" t="n">
        <x:f>D25-D28</x:f>
        <x:v>75.98397499999984</x:v>
      </x:c>
      <x:c r="E29" s="40" t="n">
        <x:f>E25-E28</x:f>
        <x:v>61.01675000000009</x:v>
      </x:c>
      <x:c r="F29" s="40" t="n">
        <x:f>F25-F28</x:f>
        <x:v>2084.8421000000008</x:v>
      </x:c>
      <x:c r="G29" s="40" t="n">
        <x:f>G25-G28</x:f>
        <x:v>2084.8421000000008</x:v>
      </x:c>
      <x:c r="H29" s="40" t="n">
        <x:f>H25-H28</x:f>
        <x:v>61.01675000000009</x:v>
      </x:c>
      <x:c r="I29" s="40" t="n">
        <x:f>I25-I28</x:f>
        <x:v>75.98397499999984</x:v>
      </x:c>
      <x:c r="J29" s="40" t="n">
        <x:f>J25-J28</x:f>
        <x:v>61.01675000000009</x:v>
      </x:c>
      <x:c r="K29" s="40" t="n">
        <x:f>K25-K28</x:f>
        <x:v>2084.8421000000008</x:v>
      </x:c>
      <x:c r="L29" s="40" t="n">
        <x:f>L25-L28</x:f>
        <x:v>3866.9057749999997</x:v>
      </x:c>
      <x:c r="M29" s="40" t="n">
        <x:f>M25-M28</x:f>
        <x:v>3455.140699999999</x:v>
      </x:c>
      <x:c r="N29" s="40" t="n">
        <x:f>N25-N28</x:f>
        <x:v>522.0631250000001</x:v>
      </x:c>
      <x:c r="O29" s="40" t="n">
        <x:f>O25-O28</x:f>
        <x:v>61.01675000000009</x:v>
      </x:c>
      <x:c r="P29" s="40" t="n">
        <x:f>P25-P28</x:f>
        <x:v>75.98397499999984</x:v>
      </x:c>
      <x:c r="Q29" s="40" t="n">
        <x:f>Q25-Q28</x:f>
        <x:v>61.01675000000009</x:v>
      </x:c>
      <x:c r="R29" s="40" t="n">
        <x:f>R25-R28</x:f>
        <x:v>2084.8421000000008</x:v>
      </x:c>
      <x:c r="S29" s="40" t="n">
        <x:f>S25-S28</x:f>
        <x:v>2084.8421000000008</x:v>
      </x:c>
      <x:c r="T29" s="40" t="n">
        <x:f>T25-T28</x:f>
        <x:v>61.01675000000009</x:v>
      </x:c>
      <x:c r="U29" s="40" t="n">
        <x:f>U25-U28</x:f>
        <x:v>75.98397499999984</x:v>
      </x:c>
      <x:c r="V29" s="40" t="n">
        <x:f>V25-V28</x:f>
        <x:v>61.01675000000009</x:v>
      </x:c>
      <x:c r="W29" s="40" t="n">
        <x:f>W25-W28</x:f>
        <x:v>2084.8421000000008</x:v>
      </x:c>
      <x:c r="X29" s="40" t="n">
        <x:f>X25-X28</x:f>
        <x:v>3866.9057749999997</x:v>
      </x:c>
      <x:c r="Y29" s="40" t="n">
        <x:f>Y25-Y28</x:f>
        <x:v>3592.3957249999994</x:v>
      </x:c>
      <x:c r="Z29" s="40" t="n">
        <x:f>Z25-Z28</x:f>
        <x:v>522.0631250000001</x:v>
      </x:c>
      <x:c r="AA29" s="40" t="n">
        <x:f>AA25-AA28</x:f>
        <x:v>61.01675000000009</x:v>
      </x:c>
      <x:c r="AB29" s="40" t="n">
        <x:f>AB25-AB28</x:f>
        <x:v>75.98397499999984</x:v>
      </x:c>
      <x:c r="AC29" s="40" t="n">
        <x:f>AC25-AC28</x:f>
        <x:v>61.01675000000009</x:v>
      </x:c>
      <x:c r="AD29" s="40" t="n">
        <x:f>AD25-AD28</x:f>
        <x:v>2084.8421000000008</x:v>
      </x:c>
      <x:c r="AE29" s="40" t="n">
        <x:f>AE25-AE28</x:f>
        <x:v>2084.8421000000008</x:v>
      </x:c>
      <x:c r="AF29" s="40" t="n">
        <x:f>AF25-AF28</x:f>
        <x:v>61.01675000000009</x:v>
      </x:c>
      <x:c r="AG29" s="40" t="n">
        <x:f>AG25-AG28</x:f>
        <x:v>75.98397499999984</x:v>
      </x:c>
      <x:c r="AH29" s="40" t="n">
        <x:f>AH25-AH28</x:f>
        <x:v>61.01675000000009</x:v>
      </x:c>
      <x:c r="AI29" s="40" t="n">
        <x:f>AI25-AI28</x:f>
        <x:v>2084.8421000000008</x:v>
      </x:c>
      <x:c r="AJ29" s="40" t="n">
        <x:f>AJ25-AJ28</x:f>
        <x:v>3866.9057749999997</x:v>
      </x:c>
      <x:c r="AK29" s="40" t="n">
        <x:f>AK25-AK28</x:f>
        <x:v>3455.140699999999</x:v>
      </x:c>
      <x:c r="AL29" s="40" t="n">
        <x:f>AL25-AL28</x:f>
        <x:v>522.0631250000001</x:v>
      </x:c>
      <x:c r="AM29" s="40" t="n">
        <x:f>AM25-AM28</x:f>
        <x:v>61.01675000000009</x:v>
      </x:c>
      <x:c r="AN29" s="40" t="n">
        <x:f>AN25-AN28</x:f>
        <x:v>75.98397499999984</x:v>
      </x:c>
      <x:c r="AO29" s="40" t="n">
        <x:f>AO25-AO28</x:f>
        <x:v>61.01675000000009</x:v>
      </x:c>
      <x:c r="AP29" s="40" t="n">
        <x:f>AP25-AP28</x:f>
        <x:v>2084.8421000000008</x:v>
      </x:c>
      <x:c r="AQ29" s="40" t="n">
        <x:f>AQ25-AQ28</x:f>
        <x:v>2084.8421000000008</x:v>
      </x:c>
      <x:c r="AR29" s="40" t="n">
        <x:f>AR25-AR28</x:f>
        <x:v>61.01675000000009</x:v>
      </x:c>
      <x:c r="AS29" s="40" t="n">
        <x:f>AS25-AS28</x:f>
        <x:v>75.98397499999984</x:v>
      </x:c>
      <x:c r="AT29" s="40" t="n">
        <x:f>AT25-AT28</x:f>
        <x:v>61.01675000000009</x:v>
      </x:c>
      <x:c r="AU29" s="40" t="n">
        <x:f>AU25-AU28</x:f>
        <x:v>2084.8421000000008</x:v>
      </x:c>
      <x:c r="AV29" s="40" t="n">
        <x:f>AV25-AV28</x:f>
        <x:v>3866.9057749999997</x:v>
      </x:c>
      <x:c r="AW29" s="40" t="n">
        <x:f>AW25-AW28</x:f>
        <x:v>3455.140699999999</x:v>
      </x:c>
      <x:c r="AX29" s="40" t="n">
        <x:f>AX25-AX28</x:f>
        <x:v>522.0631250000001</x:v>
      </x:c>
      <x:c r="AY29" s="40" t="n">
        <x:f>AY25-AY28</x:f>
        <x:v>61.01675000000009</x:v>
      </x:c>
      <x:c r="AZ29" s="40" t="n">
        <x:f>AZ25-AZ28</x:f>
        <x:v>75.98397499999984</x:v>
      </x:c>
      <x:c r="BA29" s="40" t="n">
        <x:f>BA25-BA28</x:f>
        <x:v>61.01675000000009</x:v>
      </x:c>
      <x:c r="BB29" s="40" t="n">
        <x:f>BB25-BB28</x:f>
        <x:v>2084.8421000000008</x:v>
      </x:c>
      <x:c r="BC29" s="40" t="n">
        <x:f>BC25-BC28</x:f>
        <x:v>2084.8421000000008</x:v>
      </x:c>
      <x:c r="BD29" s="40" t="n">
        <x:f>BD25-BD28</x:f>
        <x:v>61.01675000000009</x:v>
      </x:c>
      <x:c r="BE29" s="40" t="n">
        <x:f>BE25-BE28</x:f>
        <x:v>75.98397499999984</x:v>
      </x:c>
      <x:c r="BF29" s="40" t="n">
        <x:f>BF25-BF28</x:f>
        <x:v>61.01675000000009</x:v>
      </x:c>
      <x:c r="BG29" s="40" t="n">
        <x:f>BG25-BG28</x:f>
        <x:v>2084.8421000000008</x:v>
      </x:c>
      <x:c r="BH29" s="40" t="n">
        <x:f>BH25-BH28</x:f>
        <x:v>3866.9057749999997</x:v>
      </x:c>
      <x:c r="BI29" s="40" t="n">
        <x:f>BI25-BI28</x:f>
        <x:v>3455.140699999999</x:v>
      </x:c>
      <x:c r="BJ29" s="40" t="n">
        <x:f>BJ25-BJ28</x:f>
        <x:v>522.0631250000001</x:v>
      </x:c>
    </x:row>
    <x:row r="30">
      <x:c r="A30" s="12" t="str">
        <x:v>D&amp;A</x:v>
      </x:c>
      <x:c r="B30" s="12" t="str">
        <x:v>減価償却費</x:v>
      </x:c>
      <x:c r="C30" s="40" t="n">
        <x:f>'01_入力ページ'!C43</x:f>
        <x:v>500</x:v>
      </x:c>
      <x:c r="D30" s="40" t="n">
        <x:f>'01_入力ページ'!D43</x:f>
        <x:v>500</x:v>
      </x:c>
      <x:c r="E30" s="40" t="n">
        <x:f>'01_入力ページ'!E43</x:f>
        <x:v>500</x:v>
      </x:c>
      <x:c r="F30" s="40" t="n">
        <x:f>'01_入力ページ'!F43</x:f>
        <x:v>500</x:v>
      </x:c>
      <x:c r="G30" s="40" t="n">
        <x:f>'01_入力ページ'!G43</x:f>
        <x:v>500</x:v>
      </x:c>
      <x:c r="H30" s="40" t="n">
        <x:f>'01_入力ページ'!H43</x:f>
        <x:v>500</x:v>
      </x:c>
      <x:c r="I30" s="40" t="n">
        <x:f>'01_入力ページ'!I43</x:f>
        <x:v>500</x:v>
      </x:c>
      <x:c r="J30" s="40" t="n">
        <x:f>'01_入力ページ'!J43</x:f>
        <x:v>500</x:v>
      </x:c>
      <x:c r="K30" s="40" t="n">
        <x:f>'01_入力ページ'!K43</x:f>
        <x:v>500</x:v>
      </x:c>
      <x:c r="L30" s="40" t="n">
        <x:f>'01_入力ページ'!L43</x:f>
        <x:v>500</x:v>
      </x:c>
      <x:c r="M30" s="40" t="n">
        <x:f>'01_入力ページ'!M43</x:f>
        <x:v>500</x:v>
      </x:c>
      <x:c r="N30" s="40" t="n">
        <x:f>'01_入力ページ'!N43</x:f>
        <x:v>500</x:v>
      </x:c>
      <x:c r="O30" s="40" t="n">
        <x:f>'01_入力ページ'!O43</x:f>
        <x:v>500</x:v>
      </x:c>
      <x:c r="P30" s="40" t="n">
        <x:f>'01_入力ページ'!P43</x:f>
        <x:v>500</x:v>
      </x:c>
      <x:c r="Q30" s="40" t="n">
        <x:f>'01_入力ページ'!Q43</x:f>
        <x:v>500</x:v>
      </x:c>
      <x:c r="R30" s="40" t="n">
        <x:f>'01_入力ページ'!R43</x:f>
        <x:v>500</x:v>
      </x:c>
      <x:c r="S30" s="40" t="n">
        <x:f>'01_入力ページ'!S43</x:f>
        <x:v>500</x:v>
      </x:c>
      <x:c r="T30" s="40" t="n">
        <x:f>'01_入力ページ'!T43</x:f>
        <x:v>500</x:v>
      </x:c>
      <x:c r="U30" s="40" t="n">
        <x:f>'01_入力ページ'!U43</x:f>
        <x:v>500</x:v>
      </x:c>
      <x:c r="V30" s="40" t="n">
        <x:f>'01_入力ページ'!V43</x:f>
        <x:v>500</x:v>
      </x:c>
      <x:c r="W30" s="40" t="n">
        <x:f>'01_入力ページ'!W43</x:f>
        <x:v>500</x:v>
      </x:c>
      <x:c r="X30" s="40" t="n">
        <x:f>'01_入力ページ'!X43</x:f>
        <x:v>500</x:v>
      </x:c>
      <x:c r="Y30" s="40" t="n">
        <x:f>'01_入力ページ'!Y43</x:f>
        <x:v>500</x:v>
      </x:c>
      <x:c r="Z30" s="40" t="n">
        <x:f>'01_入力ページ'!Z43</x:f>
        <x:v>500</x:v>
      </x:c>
      <x:c r="AA30" s="40" t="n">
        <x:f>'01_入力ページ'!AA43</x:f>
        <x:v>500</x:v>
      </x:c>
      <x:c r="AB30" s="40" t="n">
        <x:f>'01_入力ページ'!AB43</x:f>
        <x:v>500</x:v>
      </x:c>
      <x:c r="AC30" s="40" t="n">
        <x:f>'01_入力ページ'!AC43</x:f>
        <x:v>500</x:v>
      </x:c>
      <x:c r="AD30" s="40" t="n">
        <x:f>'01_入力ページ'!AD43</x:f>
        <x:v>500</x:v>
      </x:c>
      <x:c r="AE30" s="40" t="n">
        <x:f>'01_入力ページ'!AE43</x:f>
        <x:v>500</x:v>
      </x:c>
      <x:c r="AF30" s="40" t="n">
        <x:f>'01_入力ページ'!AF43</x:f>
        <x:v>500</x:v>
      </x:c>
      <x:c r="AG30" s="40" t="n">
        <x:f>'01_入力ページ'!AG43</x:f>
        <x:v>500</x:v>
      </x:c>
      <x:c r="AH30" s="40" t="n">
        <x:f>'01_入力ページ'!AH43</x:f>
        <x:v>500</x:v>
      </x:c>
      <x:c r="AI30" s="40" t="n">
        <x:f>'01_入力ページ'!AI43</x:f>
        <x:v>500</x:v>
      </x:c>
      <x:c r="AJ30" s="40" t="n">
        <x:f>'01_入力ページ'!AJ43</x:f>
        <x:v>500</x:v>
      </x:c>
      <x:c r="AK30" s="40" t="n">
        <x:f>'01_入力ページ'!AK43</x:f>
        <x:v>500</x:v>
      </x:c>
      <x:c r="AL30" s="40" t="n">
        <x:f>'01_入力ページ'!AL43</x:f>
        <x:v>500</x:v>
      </x:c>
      <x:c r="AM30" s="40" t="n">
        <x:f>'01_入力ページ'!AM43</x:f>
        <x:v>500</x:v>
      </x:c>
      <x:c r="AN30" s="40" t="n">
        <x:f>'01_入力ページ'!AN43</x:f>
        <x:v>500</x:v>
      </x:c>
      <x:c r="AO30" s="40" t="n">
        <x:f>'01_入力ページ'!AO43</x:f>
        <x:v>500</x:v>
      </x:c>
      <x:c r="AP30" s="40" t="n">
        <x:f>'01_入力ページ'!AP43</x:f>
        <x:v>500</x:v>
      </x:c>
      <x:c r="AQ30" s="40" t="n">
        <x:f>'01_入力ページ'!AQ43</x:f>
        <x:v>500</x:v>
      </x:c>
      <x:c r="AR30" s="40" t="n">
        <x:f>'01_入力ページ'!AR43</x:f>
        <x:v>500</x:v>
      </x:c>
      <x:c r="AS30" s="40" t="n">
        <x:f>'01_入力ページ'!AS43</x:f>
        <x:v>500</x:v>
      </x:c>
      <x:c r="AT30" s="40" t="n">
        <x:f>'01_入力ページ'!AT43</x:f>
        <x:v>500</x:v>
      </x:c>
      <x:c r="AU30" s="40" t="n">
        <x:f>'01_入力ページ'!AU43</x:f>
        <x:v>500</x:v>
      </x:c>
      <x:c r="AV30" s="40" t="n">
        <x:f>'01_入力ページ'!AV43</x:f>
        <x:v>500</x:v>
      </x:c>
      <x:c r="AW30" s="40" t="n">
        <x:f>'01_入力ページ'!AW43</x:f>
        <x:v>500</x:v>
      </x:c>
      <x:c r="AX30" s="40" t="n">
        <x:f>'01_入力ページ'!AX43</x:f>
        <x:v>500</x:v>
      </x:c>
      <x:c r="AY30" s="40" t="n">
        <x:f>'01_入力ページ'!AY43</x:f>
        <x:v>500</x:v>
      </x:c>
      <x:c r="AZ30" s="40" t="n">
        <x:f>'01_入力ページ'!AZ43</x:f>
        <x:v>500</x:v>
      </x:c>
      <x:c r="BA30" s="40" t="n">
        <x:f>'01_入力ページ'!BA43</x:f>
        <x:v>500</x:v>
      </x:c>
      <x:c r="BB30" s="40" t="n">
        <x:f>'01_入力ページ'!BB43</x:f>
        <x:v>500</x:v>
      </x:c>
      <x:c r="BC30" s="40" t="n">
        <x:f>'01_入力ページ'!BC43</x:f>
        <x:v>500</x:v>
      </x:c>
      <x:c r="BD30" s="40" t="n">
        <x:f>'01_入力ページ'!BD43</x:f>
        <x:v>500</x:v>
      </x:c>
      <x:c r="BE30" s="40" t="n">
        <x:f>'01_入力ページ'!BE43</x:f>
        <x:v>500</x:v>
      </x:c>
      <x:c r="BF30" s="40" t="n">
        <x:f>'01_入力ページ'!BF43</x:f>
        <x:v>500</x:v>
      </x:c>
      <x:c r="BG30" s="40" t="n">
        <x:f>'01_入力ページ'!BG43</x:f>
        <x:v>500</x:v>
      </x:c>
      <x:c r="BH30" s="40" t="n">
        <x:f>'01_入力ページ'!BH43</x:f>
        <x:v>500</x:v>
      </x:c>
      <x:c r="BI30" s="40" t="n">
        <x:f>'01_入力ページ'!BI43</x:f>
        <x:v>500</x:v>
      </x:c>
      <x:c r="BJ30" s="40" t="n">
        <x:f>'01_入力ページ'!BJ43</x:f>
        <x:v>500</x:v>
      </x:c>
    </x:row>
    <x:row r="31">
      <x:c r="A31" s="12" t="str">
        <x:v>利益</x:v>
      </x:c>
      <x:c r="B31" s="12" t="str">
        <x:v>営業利益</x:v>
      </x:c>
      <x:c r="C31" s="40" t="n">
        <x:f>C29-C30</x:f>
        <x:v>-438.9832499999999</x:v>
      </x:c>
      <x:c r="D31" s="40" t="n">
        <x:f>D29-D30</x:f>
        <x:v>-424.0160250000001</x:v>
      </x:c>
      <x:c r="E31" s="40" t="n">
        <x:f>E29-E30</x:f>
        <x:v>-438.9832499999999</x:v>
      </x:c>
      <x:c r="F31" s="40" t="n">
        <x:f>F29-F30</x:f>
        <x:v>1584.8421000000008</x:v>
      </x:c>
      <x:c r="G31" s="40" t="n">
        <x:f>G29-G30</x:f>
        <x:v>1584.8421000000008</x:v>
      </x:c>
      <x:c r="H31" s="40" t="n">
        <x:f>H29-H30</x:f>
        <x:v>-438.9832499999999</x:v>
      </x:c>
      <x:c r="I31" s="40" t="n">
        <x:f>I29-I30</x:f>
        <x:v>-424.0160250000001</x:v>
      </x:c>
      <x:c r="J31" s="40" t="n">
        <x:f>J29-J30</x:f>
        <x:v>-438.9832499999999</x:v>
      </x:c>
      <x:c r="K31" s="40" t="n">
        <x:f>K29-K30</x:f>
        <x:v>1584.8421000000008</x:v>
      </x:c>
      <x:c r="L31" s="40" t="n">
        <x:f>L29-L30</x:f>
        <x:v>3366.9057749999997</x:v>
      </x:c>
      <x:c r="M31" s="40" t="n">
        <x:f>M29-M30</x:f>
        <x:v>2955.140699999999</x:v>
      </x:c>
      <x:c r="N31" s="40" t="n">
        <x:f>N29-N30</x:f>
        <x:v>22.063125000000127</x:v>
      </x:c>
      <x:c r="O31" s="40" t="n">
        <x:f>O29-O30</x:f>
        <x:v>-438.9832499999999</x:v>
      </x:c>
      <x:c r="P31" s="40" t="n">
        <x:f>P29-P30</x:f>
        <x:v>-424.0160250000001</x:v>
      </x:c>
      <x:c r="Q31" s="40" t="n">
        <x:f>Q29-Q30</x:f>
        <x:v>-438.9832499999999</x:v>
      </x:c>
      <x:c r="R31" s="40" t="n">
        <x:f>R29-R30</x:f>
        <x:v>1584.8421000000008</x:v>
      </x:c>
      <x:c r="S31" s="40" t="n">
        <x:f>S29-S30</x:f>
        <x:v>1584.8421000000008</x:v>
      </x:c>
      <x:c r="T31" s="40" t="n">
        <x:f>T29-T30</x:f>
        <x:v>-438.9832499999999</x:v>
      </x:c>
      <x:c r="U31" s="40" t="n">
        <x:f>U29-U30</x:f>
        <x:v>-424.0160250000001</x:v>
      </x:c>
      <x:c r="V31" s="40" t="n">
        <x:f>V29-V30</x:f>
        <x:v>-438.9832499999999</x:v>
      </x:c>
      <x:c r="W31" s="40" t="n">
        <x:f>W29-W30</x:f>
        <x:v>1584.8421000000008</x:v>
      </x:c>
      <x:c r="X31" s="40" t="n">
        <x:f>X29-X30</x:f>
        <x:v>3366.9057749999997</x:v>
      </x:c>
      <x:c r="Y31" s="40" t="n">
        <x:f>Y29-Y30</x:f>
        <x:v>3092.3957249999994</x:v>
      </x:c>
      <x:c r="Z31" s="40" t="n">
        <x:f>Z29-Z30</x:f>
        <x:v>22.063125000000127</x:v>
      </x:c>
      <x:c r="AA31" s="40" t="n">
        <x:f>AA29-AA30</x:f>
        <x:v>-438.9832499999999</x:v>
      </x:c>
      <x:c r="AB31" s="40" t="n">
        <x:f>AB29-AB30</x:f>
        <x:v>-424.0160250000001</x:v>
      </x:c>
      <x:c r="AC31" s="40" t="n">
        <x:f>AC29-AC30</x:f>
        <x:v>-438.9832499999999</x:v>
      </x:c>
      <x:c r="AD31" s="40" t="n">
        <x:f>AD29-AD30</x:f>
        <x:v>1584.8421000000008</x:v>
      </x:c>
      <x:c r="AE31" s="40" t="n">
        <x:f>AE29-AE30</x:f>
        <x:v>1584.8421000000008</x:v>
      </x:c>
      <x:c r="AF31" s="40" t="n">
        <x:f>AF29-AF30</x:f>
        <x:v>-438.9832499999999</x:v>
      </x:c>
      <x:c r="AG31" s="40" t="n">
        <x:f>AG29-AG30</x:f>
        <x:v>-424.0160250000001</x:v>
      </x:c>
      <x:c r="AH31" s="40" t="n">
        <x:f>AH29-AH30</x:f>
        <x:v>-438.9832499999999</x:v>
      </x:c>
      <x:c r="AI31" s="40" t="n">
        <x:f>AI29-AI30</x:f>
        <x:v>1584.8421000000008</x:v>
      </x:c>
      <x:c r="AJ31" s="40" t="n">
        <x:f>AJ29-AJ30</x:f>
        <x:v>3366.9057749999997</x:v>
      </x:c>
      <x:c r="AK31" s="40" t="n">
        <x:f>AK29-AK30</x:f>
        <x:v>2955.140699999999</x:v>
      </x:c>
      <x:c r="AL31" s="40" t="n">
        <x:f>AL29-AL30</x:f>
        <x:v>22.063125000000127</x:v>
      </x:c>
      <x:c r="AM31" s="40" t="n">
        <x:f>AM29-AM30</x:f>
        <x:v>-438.9832499999999</x:v>
      </x:c>
      <x:c r="AN31" s="40" t="n">
        <x:f>AN29-AN30</x:f>
        <x:v>-424.0160250000001</x:v>
      </x:c>
      <x:c r="AO31" s="40" t="n">
        <x:f>AO29-AO30</x:f>
        <x:v>-438.9832499999999</x:v>
      </x:c>
      <x:c r="AP31" s="40" t="n">
        <x:f>AP29-AP30</x:f>
        <x:v>1584.8421000000008</x:v>
      </x:c>
      <x:c r="AQ31" s="40" t="n">
        <x:f>AQ29-AQ30</x:f>
        <x:v>1584.8421000000008</x:v>
      </x:c>
      <x:c r="AR31" s="40" t="n">
        <x:f>AR29-AR30</x:f>
        <x:v>-438.9832499999999</x:v>
      </x:c>
      <x:c r="AS31" s="40" t="n">
        <x:f>AS29-AS30</x:f>
        <x:v>-424.0160250000001</x:v>
      </x:c>
      <x:c r="AT31" s="40" t="n">
        <x:f>AT29-AT30</x:f>
        <x:v>-438.9832499999999</x:v>
      </x:c>
      <x:c r="AU31" s="40" t="n">
        <x:f>AU29-AU30</x:f>
        <x:v>1584.8421000000008</x:v>
      </x:c>
      <x:c r="AV31" s="40" t="n">
        <x:f>AV29-AV30</x:f>
        <x:v>3366.9057749999997</x:v>
      </x:c>
      <x:c r="AW31" s="40" t="n">
        <x:f>AW29-AW30</x:f>
        <x:v>2955.140699999999</x:v>
      </x:c>
      <x:c r="AX31" s="40" t="n">
        <x:f>AX29-AX30</x:f>
        <x:v>22.063125000000127</x:v>
      </x:c>
      <x:c r="AY31" s="40" t="n">
        <x:f>AY29-AY30</x:f>
        <x:v>-438.9832499999999</x:v>
      </x:c>
      <x:c r="AZ31" s="40" t="n">
        <x:f>AZ29-AZ30</x:f>
        <x:v>-424.0160250000001</x:v>
      </x:c>
      <x:c r="BA31" s="40" t="n">
        <x:f>BA29-BA30</x:f>
        <x:v>-438.9832499999999</x:v>
      </x:c>
      <x:c r="BB31" s="40" t="n">
        <x:f>BB29-BB30</x:f>
        <x:v>1584.8421000000008</x:v>
      </x:c>
      <x:c r="BC31" s="40" t="n">
        <x:f>BC29-BC30</x:f>
        <x:v>1584.8421000000008</x:v>
      </x:c>
      <x:c r="BD31" s="40" t="n">
        <x:f>BD29-BD30</x:f>
        <x:v>-438.9832499999999</x:v>
      </x:c>
      <x:c r="BE31" s="40" t="n">
        <x:f>BE29-BE30</x:f>
        <x:v>-424.0160250000001</x:v>
      </x:c>
      <x:c r="BF31" s="40" t="n">
        <x:f>BF29-BF30</x:f>
        <x:v>-438.9832499999999</x:v>
      </x:c>
      <x:c r="BG31" s="40" t="n">
        <x:f>BG29-BG30</x:f>
        <x:v>1584.8421000000008</x:v>
      </x:c>
      <x:c r="BH31" s="40" t="n">
        <x:f>BH29-BH30</x:f>
        <x:v>3366.9057749999997</x:v>
      </x:c>
      <x:c r="BI31" s="40" t="n">
        <x:f>BI29-BI30</x:f>
        <x:v>2955.140699999999</x:v>
      </x:c>
      <x:c r="BJ31" s="40" t="n">
        <x:f>BJ29-BJ30</x:f>
        <x:v>22.063125000000127</x:v>
      </x:c>
    </x:row>
    <x:row r="32">
      <x:c r="A32" s="12" t="str">
        <x:v>営業外</x:v>
      </x:c>
      <x:c r="B32" s="12" t="str">
        <x:v>営業外収益</x:v>
      </x:c>
      <x:c r="C32" s="40" t="n">
        <x:f>'01_入力ページ'!C44</x:f>
        <x:v>0</x:v>
      </x:c>
      <x:c r="D32" s="40" t="n">
        <x:f>'01_入力ページ'!D44</x:f>
        <x:v>0</x:v>
      </x:c>
      <x:c r="E32" s="40" t="n">
        <x:f>'01_入力ページ'!E44</x:f>
        <x:v>0</x:v>
      </x:c>
      <x:c r="F32" s="40" t="n">
        <x:f>'01_入力ページ'!F44</x:f>
        <x:v>0</x:v>
      </x:c>
      <x:c r="G32" s="40" t="n">
        <x:f>'01_入力ページ'!G44</x:f>
        <x:v>0</x:v>
      </x:c>
      <x:c r="H32" s="40" t="n">
        <x:f>'01_入力ページ'!H44</x:f>
        <x:v>0</x:v>
      </x:c>
      <x:c r="I32" s="40" t="n">
        <x:f>'01_入力ページ'!I44</x:f>
        <x:v>0</x:v>
      </x:c>
      <x:c r="J32" s="40" t="n">
        <x:f>'01_入力ページ'!J44</x:f>
        <x:v>0</x:v>
      </x:c>
      <x:c r="K32" s="40" t="n">
        <x:f>'01_入力ページ'!K44</x:f>
        <x:v>0</x:v>
      </x:c>
      <x:c r="L32" s="40" t="n">
        <x:f>'01_入力ページ'!L44</x:f>
        <x:v>0</x:v>
      </x:c>
      <x:c r="M32" s="40" t="n">
        <x:f>'01_入力ページ'!M44</x:f>
        <x:v>0</x:v>
      </x:c>
      <x:c r="N32" s="40" t="n">
        <x:f>'01_入力ページ'!N44</x:f>
        <x:v>0</x:v>
      </x:c>
      <x:c r="O32" s="40" t="n">
        <x:f>'01_入力ページ'!O44</x:f>
        <x:v>0</x:v>
      </x:c>
      <x:c r="P32" s="40" t="n">
        <x:f>'01_入力ページ'!P44</x:f>
        <x:v>0</x:v>
      </x:c>
      <x:c r="Q32" s="40" t="n">
        <x:f>'01_入力ページ'!Q44</x:f>
        <x:v>0</x:v>
      </x:c>
      <x:c r="R32" s="40" t="n">
        <x:f>'01_入力ページ'!R44</x:f>
        <x:v>0</x:v>
      </x:c>
      <x:c r="S32" s="40" t="n">
        <x:f>'01_入力ページ'!S44</x:f>
        <x:v>0</x:v>
      </x:c>
      <x:c r="T32" s="40" t="n">
        <x:f>'01_入力ページ'!T44</x:f>
        <x:v>0</x:v>
      </x:c>
      <x:c r="U32" s="40" t="n">
        <x:f>'01_入力ページ'!U44</x:f>
        <x:v>0</x:v>
      </x:c>
      <x:c r="V32" s="40" t="n">
        <x:f>'01_入力ページ'!V44</x:f>
        <x:v>0</x:v>
      </x:c>
      <x:c r="W32" s="40" t="n">
        <x:f>'01_入力ページ'!W44</x:f>
        <x:v>0</x:v>
      </x:c>
      <x:c r="X32" s="40" t="n">
        <x:f>'01_入力ページ'!X44</x:f>
        <x:v>0</x:v>
      </x:c>
      <x:c r="Y32" s="40" t="n">
        <x:f>'01_入力ページ'!Y44</x:f>
        <x:v>0</x:v>
      </x:c>
      <x:c r="Z32" s="40" t="n">
        <x:f>'01_入力ページ'!Z44</x:f>
        <x:v>0</x:v>
      </x:c>
      <x:c r="AA32" s="40" t="n">
        <x:f>'01_入力ページ'!AA44</x:f>
        <x:v>0</x:v>
      </x:c>
      <x:c r="AB32" s="40" t="n">
        <x:f>'01_入力ページ'!AB44</x:f>
        <x:v>0</x:v>
      </x:c>
      <x:c r="AC32" s="40" t="n">
        <x:f>'01_入力ページ'!AC44</x:f>
        <x:v>0</x:v>
      </x:c>
      <x:c r="AD32" s="40" t="n">
        <x:f>'01_入力ページ'!AD44</x:f>
        <x:v>0</x:v>
      </x:c>
      <x:c r="AE32" s="40" t="n">
        <x:f>'01_入力ページ'!AE44</x:f>
        <x:v>0</x:v>
      </x:c>
      <x:c r="AF32" s="40" t="n">
        <x:f>'01_入力ページ'!AF44</x:f>
        <x:v>0</x:v>
      </x:c>
      <x:c r="AG32" s="40" t="n">
        <x:f>'01_入力ページ'!AG44</x:f>
        <x:v>0</x:v>
      </x:c>
      <x:c r="AH32" s="40" t="n">
        <x:f>'01_入力ページ'!AH44</x:f>
        <x:v>0</x:v>
      </x:c>
      <x:c r="AI32" s="40" t="n">
        <x:f>'01_入力ページ'!AI44</x:f>
        <x:v>0</x:v>
      </x:c>
      <x:c r="AJ32" s="40" t="n">
        <x:f>'01_入力ページ'!AJ44</x:f>
        <x:v>0</x:v>
      </x:c>
      <x:c r="AK32" s="40" t="n">
        <x:f>'01_入力ページ'!AK44</x:f>
        <x:v>0</x:v>
      </x:c>
      <x:c r="AL32" s="40" t="n">
        <x:f>'01_入力ページ'!AL44</x:f>
        <x:v>0</x:v>
      </x:c>
      <x:c r="AM32" s="40" t="n">
        <x:f>'01_入力ページ'!AM44</x:f>
        <x:v>0</x:v>
      </x:c>
      <x:c r="AN32" s="40" t="n">
        <x:f>'01_入力ページ'!AN44</x:f>
        <x:v>0</x:v>
      </x:c>
      <x:c r="AO32" s="40" t="n">
        <x:f>'01_入力ページ'!AO44</x:f>
        <x:v>0</x:v>
      </x:c>
      <x:c r="AP32" s="40" t="n">
        <x:f>'01_入力ページ'!AP44</x:f>
        <x:v>0</x:v>
      </x:c>
      <x:c r="AQ32" s="40" t="n">
        <x:f>'01_入力ページ'!AQ44</x:f>
        <x:v>0</x:v>
      </x:c>
      <x:c r="AR32" s="40" t="n">
        <x:f>'01_入力ページ'!AR44</x:f>
        <x:v>0</x:v>
      </x:c>
      <x:c r="AS32" s="40" t="n">
        <x:f>'01_入力ページ'!AS44</x:f>
        <x:v>0</x:v>
      </x:c>
      <x:c r="AT32" s="40" t="n">
        <x:f>'01_入力ページ'!AT44</x:f>
        <x:v>0</x:v>
      </x:c>
      <x:c r="AU32" s="40" t="n">
        <x:f>'01_入力ページ'!AU44</x:f>
        <x:v>0</x:v>
      </x:c>
      <x:c r="AV32" s="40" t="n">
        <x:f>'01_入力ページ'!AV44</x:f>
        <x:v>0</x:v>
      </x:c>
      <x:c r="AW32" s="40" t="n">
        <x:f>'01_入力ページ'!AW44</x:f>
        <x:v>0</x:v>
      </x:c>
      <x:c r="AX32" s="40" t="n">
        <x:f>'01_入力ページ'!AX44</x:f>
        <x:v>0</x:v>
      </x:c>
      <x:c r="AY32" s="40" t="n">
        <x:f>'01_入力ページ'!AY44</x:f>
        <x:v>0</x:v>
      </x:c>
      <x:c r="AZ32" s="40" t="n">
        <x:f>'01_入力ページ'!AZ44</x:f>
        <x:v>0</x:v>
      </x:c>
      <x:c r="BA32" s="40" t="n">
        <x:f>'01_入力ページ'!BA44</x:f>
        <x:v>0</x:v>
      </x:c>
      <x:c r="BB32" s="40" t="n">
        <x:f>'01_入力ページ'!BB44</x:f>
        <x:v>0</x:v>
      </x:c>
      <x:c r="BC32" s="40" t="n">
        <x:f>'01_入力ページ'!BC44</x:f>
        <x:v>0</x:v>
      </x:c>
      <x:c r="BD32" s="40" t="n">
        <x:f>'01_入力ページ'!BD44</x:f>
        <x:v>0</x:v>
      </x:c>
      <x:c r="BE32" s="40" t="n">
        <x:f>'01_入力ページ'!BE44</x:f>
        <x:v>0</x:v>
      </x:c>
      <x:c r="BF32" s="40" t="n">
        <x:f>'01_入力ページ'!BF44</x:f>
        <x:v>0</x:v>
      </x:c>
      <x:c r="BG32" s="40" t="n">
        <x:f>'01_入力ページ'!BG44</x:f>
        <x:v>0</x:v>
      </x:c>
      <x:c r="BH32" s="40" t="n">
        <x:f>'01_入力ページ'!BH44</x:f>
        <x:v>0</x:v>
      </x:c>
      <x:c r="BI32" s="40" t="n">
        <x:f>'01_入力ページ'!BI44</x:f>
        <x:v>0</x:v>
      </x:c>
      <x:c r="BJ32" s="40" t="n">
        <x:f>'01_入力ページ'!BJ44</x:f>
        <x:v>0</x:v>
      </x:c>
    </x:row>
    <x:row r="33">
      <x:c r="A33" s="12" t="str">
        <x:v>営業外</x:v>
      </x:c>
      <x:c r="B33" s="12" t="str">
        <x:v>支払利息</x:v>
      </x:c>
      <x:c r="C33" s="40" t="n">
        <x:f>'09_借入返済'!C12</x:f>
        <x:v>43.833333333333336</x:v>
      </x:c>
      <x:c r="D33" s="40" t="n">
        <x:f>'09_借入返済'!D12</x:f>
        <x:v>43.833333333333336</x:v>
      </x:c>
      <x:c r="E33" s="40" t="n">
        <x:f>'09_借入返済'!E12</x:f>
        <x:v>43.833333333333336</x:v>
      </x:c>
      <x:c r="F33" s="40" t="n">
        <x:f>'09_借入返済'!F12</x:f>
        <x:v>43.833333333333336</x:v>
      </x:c>
      <x:c r="G33" s="40" t="n">
        <x:f>'09_借入返済'!G12</x:f>
        <x:v>43.833333333333336</x:v>
      </x:c>
      <x:c r="H33" s="40" t="n">
        <x:f>'09_借入返済'!H12</x:f>
        <x:v>43.833333333333336</x:v>
      </x:c>
      <x:c r="I33" s="40" t="n">
        <x:f>'09_借入返済'!I12</x:f>
        <x:v>43.833333333333336</x:v>
      </x:c>
      <x:c r="J33" s="40" t="n">
        <x:f>'09_借入返済'!J12</x:f>
        <x:v>43.833333333333336</x:v>
      </x:c>
      <x:c r="K33" s="40" t="n">
        <x:f>'09_借入返済'!K12</x:f>
        <x:v>43.833333333333336</x:v>
      </x:c>
      <x:c r="L33" s="40" t="n">
        <x:f>'09_借入返済'!L12</x:f>
        <x:v>43.833333333333336</x:v>
      </x:c>
      <x:c r="M33" s="40" t="n">
        <x:f>'09_借入返済'!M12</x:f>
        <x:v>43.833333333333336</x:v>
      </x:c>
      <x:c r="N33" s="40" t="n">
        <x:f>'09_借入返済'!N12</x:f>
        <x:v>43.833333333333336</x:v>
      </x:c>
      <x:c r="O33" s="40" t="n">
        <x:f>'09_借入返済'!O12</x:f>
        <x:v>43.833333333333336</x:v>
      </x:c>
      <x:c r="P33" s="40" t="n">
        <x:f>'09_借入返済'!P12</x:f>
        <x:v>43.833333333333336</x:v>
      </x:c>
      <x:c r="Q33" s="40" t="n">
        <x:f>'09_借入返済'!Q12</x:f>
        <x:v>43.833333333333336</x:v>
      </x:c>
      <x:c r="R33" s="40" t="n">
        <x:f>'09_借入返済'!R12</x:f>
        <x:v>43.833333333333336</x:v>
      </x:c>
      <x:c r="S33" s="40" t="n">
        <x:f>'09_借入返済'!S12</x:f>
        <x:v>43.833333333333336</x:v>
      </x:c>
      <x:c r="T33" s="40" t="n">
        <x:f>'09_借入返済'!T12</x:f>
        <x:v>43.833333333333336</x:v>
      </x:c>
      <x:c r="U33" s="40" t="n">
        <x:f>'09_借入返済'!U12</x:f>
        <x:v>43.833333333333336</x:v>
      </x:c>
      <x:c r="V33" s="40" t="n">
        <x:f>'09_借入返済'!V12</x:f>
        <x:v>43.833333333333336</x:v>
      </x:c>
      <x:c r="W33" s="40" t="n">
        <x:f>'09_借入返済'!W12</x:f>
        <x:v>43.833333333333336</x:v>
      </x:c>
      <x:c r="X33" s="40" t="n">
        <x:f>'09_借入返済'!X12</x:f>
        <x:v>43.833333333333336</x:v>
      </x:c>
      <x:c r="Y33" s="40" t="n">
        <x:f>'09_借入返済'!Y12</x:f>
        <x:v>43.833333333333336</x:v>
      </x:c>
      <x:c r="Z33" s="40" t="n">
        <x:f>'09_借入返済'!Z12</x:f>
        <x:v>43.833333333333336</x:v>
      </x:c>
      <x:c r="AA33" s="40" t="n">
        <x:f>'09_借入返済'!AA12</x:f>
        <x:v>43.833333333333336</x:v>
      </x:c>
      <x:c r="AB33" s="40" t="n">
        <x:f>'09_借入返済'!AB12</x:f>
        <x:v>43.833333333333336</x:v>
      </x:c>
      <x:c r="AC33" s="40" t="n">
        <x:f>'09_借入返済'!AC12</x:f>
        <x:v>43.833333333333336</x:v>
      </x:c>
      <x:c r="AD33" s="40" t="n">
        <x:f>'09_借入返済'!AD12</x:f>
        <x:v>43.833333333333336</x:v>
      </x:c>
      <x:c r="AE33" s="40" t="n">
        <x:f>'09_借入返済'!AE12</x:f>
        <x:v>43.833333333333336</x:v>
      </x:c>
      <x:c r="AF33" s="40" t="n">
        <x:f>'09_借入返済'!AF12</x:f>
        <x:v>43.833333333333336</x:v>
      </x:c>
      <x:c r="AG33" s="40" t="n">
        <x:f>'09_借入返済'!AG12</x:f>
        <x:v>43.833333333333336</x:v>
      </x:c>
      <x:c r="AH33" s="40" t="n">
        <x:f>'09_借入返済'!AH12</x:f>
        <x:v>43.833333333333336</x:v>
      </x:c>
      <x:c r="AI33" s="40" t="n">
        <x:f>'09_借入返済'!AI12</x:f>
        <x:v>43.833333333333336</x:v>
      </x:c>
      <x:c r="AJ33" s="40" t="n">
        <x:f>'09_借入返済'!AJ12</x:f>
        <x:v>43.833333333333336</x:v>
      </x:c>
      <x:c r="AK33" s="40" t="n">
        <x:f>'09_借入返済'!AK12</x:f>
        <x:v>43.833333333333336</x:v>
      </x:c>
      <x:c r="AL33" s="40" t="n">
        <x:f>'09_借入返済'!AL12</x:f>
        <x:v>43.833333333333336</x:v>
      </x:c>
      <x:c r="AM33" s="40" t="n">
        <x:f>'09_借入返済'!AM12</x:f>
        <x:v>43.833333333333336</x:v>
      </x:c>
      <x:c r="AN33" s="40" t="n">
        <x:f>'09_借入返済'!AN12</x:f>
        <x:v>43.833333333333336</x:v>
      </x:c>
      <x:c r="AO33" s="40" t="n">
        <x:f>'09_借入返済'!AO12</x:f>
        <x:v>43.833333333333336</x:v>
      </x:c>
      <x:c r="AP33" s="40" t="n">
        <x:f>'09_借入返済'!AP12</x:f>
        <x:v>43.833333333333336</x:v>
      </x:c>
      <x:c r="AQ33" s="40" t="n">
        <x:f>'09_借入返済'!AQ12</x:f>
        <x:v>43.833333333333336</x:v>
      </x:c>
      <x:c r="AR33" s="40" t="n">
        <x:f>'09_借入返済'!AR12</x:f>
        <x:v>43.833333333333336</x:v>
      </x:c>
      <x:c r="AS33" s="40" t="n">
        <x:f>'09_借入返済'!AS12</x:f>
        <x:v>43.833333333333336</x:v>
      </x:c>
      <x:c r="AT33" s="40" t="n">
        <x:f>'09_借入返済'!AT12</x:f>
        <x:v>43.833333333333336</x:v>
      </x:c>
      <x:c r="AU33" s="40" t="n">
        <x:f>'09_借入返済'!AU12</x:f>
        <x:v>43.833333333333336</x:v>
      </x:c>
      <x:c r="AV33" s="40" t="n">
        <x:f>'09_借入返済'!AV12</x:f>
        <x:v>43.833333333333336</x:v>
      </x:c>
      <x:c r="AW33" s="40" t="n">
        <x:f>'09_借入返済'!AW12</x:f>
        <x:v>43.833333333333336</x:v>
      </x:c>
      <x:c r="AX33" s="40" t="n">
        <x:f>'09_借入返済'!AX12</x:f>
        <x:v>43.833333333333336</x:v>
      </x:c>
      <x:c r="AY33" s="40" t="n">
        <x:f>'09_借入返済'!AY12</x:f>
        <x:v>43.833333333333336</x:v>
      </x:c>
      <x:c r="AZ33" s="40" t="n">
        <x:f>'09_借入返済'!AZ12</x:f>
        <x:v>43.833333333333336</x:v>
      </x:c>
      <x:c r="BA33" s="40" t="n">
        <x:f>'09_借入返済'!BA12</x:f>
        <x:v>43.833333333333336</x:v>
      </x:c>
      <x:c r="BB33" s="40" t="n">
        <x:f>'09_借入返済'!BB12</x:f>
        <x:v>43.833333333333336</x:v>
      </x:c>
      <x:c r="BC33" s="40" t="n">
        <x:f>'09_借入返済'!BC12</x:f>
        <x:v>43.833333333333336</x:v>
      </x:c>
      <x:c r="BD33" s="40" t="n">
        <x:f>'09_借入返済'!BD12</x:f>
        <x:v>43.833333333333336</x:v>
      </x:c>
      <x:c r="BE33" s="40" t="n">
        <x:f>'09_借入返済'!BE12</x:f>
        <x:v>43.833333333333336</x:v>
      </x:c>
      <x:c r="BF33" s="40" t="n">
        <x:f>'09_借入返済'!BF12</x:f>
        <x:v>43.833333333333336</x:v>
      </x:c>
      <x:c r="BG33" s="40" t="n">
        <x:f>'09_借入返済'!BG12</x:f>
        <x:v>43.833333333333336</x:v>
      </x:c>
      <x:c r="BH33" s="40" t="n">
        <x:f>'09_借入返済'!BH12</x:f>
        <x:v>43.833333333333336</x:v>
      </x:c>
      <x:c r="BI33" s="40" t="n">
        <x:f>'09_借入返済'!BI12</x:f>
        <x:v>43.833333333333336</x:v>
      </x:c>
      <x:c r="BJ33" s="40" t="n">
        <x:f>'09_借入返済'!BJ12</x:f>
        <x:v>43.833333333333336</x:v>
      </x:c>
    </x:row>
    <x:row r="34">
      <x:c r="A34" s="12" t="str">
        <x:v>営業外</x:v>
      </x:c>
      <x:c r="B34" s="12" t="str">
        <x:v>その他営業外費用</x:v>
      </x:c>
      <x:c r="C34" s="40" t="n">
        <x:f>'01_入力ページ'!C45</x:f>
        <x:v>0</x:v>
      </x:c>
      <x:c r="D34" s="40" t="n">
        <x:f>'01_入力ページ'!D45</x:f>
        <x:v>0</x:v>
      </x:c>
      <x:c r="E34" s="40" t="n">
        <x:f>'01_入力ページ'!E45</x:f>
        <x:v>0</x:v>
      </x:c>
      <x:c r="F34" s="40" t="n">
        <x:f>'01_入力ページ'!F45</x:f>
        <x:v>0</x:v>
      </x:c>
      <x:c r="G34" s="40" t="n">
        <x:f>'01_入力ページ'!G45</x:f>
        <x:v>0</x:v>
      </x:c>
      <x:c r="H34" s="40" t="n">
        <x:f>'01_入力ページ'!H45</x:f>
        <x:v>0</x:v>
      </x:c>
      <x:c r="I34" s="40" t="n">
        <x:f>'01_入力ページ'!I45</x:f>
        <x:v>0</x:v>
      </x:c>
      <x:c r="J34" s="40" t="n">
        <x:f>'01_入力ページ'!J45</x:f>
        <x:v>0</x:v>
      </x:c>
      <x:c r="K34" s="40" t="n">
        <x:f>'01_入力ページ'!K45</x:f>
        <x:v>0</x:v>
      </x:c>
      <x:c r="L34" s="40" t="n">
        <x:f>'01_入力ページ'!L45</x:f>
        <x:v>0</x:v>
      </x:c>
      <x:c r="M34" s="40" t="n">
        <x:f>'01_入力ページ'!M45</x:f>
        <x:v>0</x:v>
      </x:c>
      <x:c r="N34" s="40" t="n">
        <x:f>'01_入力ページ'!N45</x:f>
        <x:v>0</x:v>
      </x:c>
      <x:c r="O34" s="40" t="n">
        <x:f>'01_入力ページ'!O45</x:f>
        <x:v>0</x:v>
      </x:c>
      <x:c r="P34" s="40" t="n">
        <x:f>'01_入力ページ'!P45</x:f>
        <x:v>0</x:v>
      </x:c>
      <x:c r="Q34" s="40" t="n">
        <x:f>'01_入力ページ'!Q45</x:f>
        <x:v>0</x:v>
      </x:c>
      <x:c r="R34" s="40" t="n">
        <x:f>'01_入力ページ'!R45</x:f>
        <x:v>0</x:v>
      </x:c>
      <x:c r="S34" s="40" t="n">
        <x:f>'01_入力ページ'!S45</x:f>
        <x:v>0</x:v>
      </x:c>
      <x:c r="T34" s="40" t="n">
        <x:f>'01_入力ページ'!T45</x:f>
        <x:v>0</x:v>
      </x:c>
      <x:c r="U34" s="40" t="n">
        <x:f>'01_入力ページ'!U45</x:f>
        <x:v>0</x:v>
      </x:c>
      <x:c r="V34" s="40" t="n">
        <x:f>'01_入力ページ'!V45</x:f>
        <x:v>0</x:v>
      </x:c>
      <x:c r="W34" s="40" t="n">
        <x:f>'01_入力ページ'!W45</x:f>
        <x:v>0</x:v>
      </x:c>
      <x:c r="X34" s="40" t="n">
        <x:f>'01_入力ページ'!X45</x:f>
        <x:v>0</x:v>
      </x:c>
      <x:c r="Y34" s="40" t="n">
        <x:f>'01_入力ページ'!Y45</x:f>
        <x:v>0</x:v>
      </x:c>
      <x:c r="Z34" s="40" t="n">
        <x:f>'01_入力ページ'!Z45</x:f>
        <x:v>0</x:v>
      </x:c>
      <x:c r="AA34" s="40" t="n">
        <x:f>'01_入力ページ'!AA45</x:f>
        <x:v>0</x:v>
      </x:c>
      <x:c r="AB34" s="40" t="n">
        <x:f>'01_入力ページ'!AB45</x:f>
        <x:v>0</x:v>
      </x:c>
      <x:c r="AC34" s="40" t="n">
        <x:f>'01_入力ページ'!AC45</x:f>
        <x:v>0</x:v>
      </x:c>
      <x:c r="AD34" s="40" t="n">
        <x:f>'01_入力ページ'!AD45</x:f>
        <x:v>0</x:v>
      </x:c>
      <x:c r="AE34" s="40" t="n">
        <x:f>'01_入力ページ'!AE45</x:f>
        <x:v>0</x:v>
      </x:c>
      <x:c r="AF34" s="40" t="n">
        <x:f>'01_入力ページ'!AF45</x:f>
        <x:v>0</x:v>
      </x:c>
      <x:c r="AG34" s="40" t="n">
        <x:f>'01_入力ページ'!AG45</x:f>
        <x:v>0</x:v>
      </x:c>
      <x:c r="AH34" s="40" t="n">
        <x:f>'01_入力ページ'!AH45</x:f>
        <x:v>0</x:v>
      </x:c>
      <x:c r="AI34" s="40" t="n">
        <x:f>'01_入力ページ'!AI45</x:f>
        <x:v>0</x:v>
      </x:c>
      <x:c r="AJ34" s="40" t="n">
        <x:f>'01_入力ページ'!AJ45</x:f>
        <x:v>0</x:v>
      </x:c>
      <x:c r="AK34" s="40" t="n">
        <x:f>'01_入力ページ'!AK45</x:f>
        <x:v>0</x:v>
      </x:c>
      <x:c r="AL34" s="40" t="n">
        <x:f>'01_入力ページ'!AL45</x:f>
        <x:v>0</x:v>
      </x:c>
      <x:c r="AM34" s="40" t="n">
        <x:f>'01_入力ページ'!AM45</x:f>
        <x:v>0</x:v>
      </x:c>
      <x:c r="AN34" s="40" t="n">
        <x:f>'01_入力ページ'!AN45</x:f>
        <x:v>0</x:v>
      </x:c>
      <x:c r="AO34" s="40" t="n">
        <x:f>'01_入力ページ'!AO45</x:f>
        <x:v>0</x:v>
      </x:c>
      <x:c r="AP34" s="40" t="n">
        <x:f>'01_入力ページ'!AP45</x:f>
        <x:v>0</x:v>
      </x:c>
      <x:c r="AQ34" s="40" t="n">
        <x:f>'01_入力ページ'!AQ45</x:f>
        <x:v>0</x:v>
      </x:c>
      <x:c r="AR34" s="40" t="n">
        <x:f>'01_入力ページ'!AR45</x:f>
        <x:v>0</x:v>
      </x:c>
      <x:c r="AS34" s="40" t="n">
        <x:f>'01_入力ページ'!AS45</x:f>
        <x:v>0</x:v>
      </x:c>
      <x:c r="AT34" s="40" t="n">
        <x:f>'01_入力ページ'!AT45</x:f>
        <x:v>0</x:v>
      </x:c>
      <x:c r="AU34" s="40" t="n">
        <x:f>'01_入力ページ'!AU45</x:f>
        <x:v>0</x:v>
      </x:c>
      <x:c r="AV34" s="40" t="n">
        <x:f>'01_入力ページ'!AV45</x:f>
        <x:v>0</x:v>
      </x:c>
      <x:c r="AW34" s="40" t="n">
        <x:f>'01_入力ページ'!AW45</x:f>
        <x:v>0</x:v>
      </x:c>
      <x:c r="AX34" s="40" t="n">
        <x:f>'01_入力ページ'!AX45</x:f>
        <x:v>0</x:v>
      </x:c>
      <x:c r="AY34" s="40" t="n">
        <x:f>'01_入力ページ'!AY45</x:f>
        <x:v>0</x:v>
      </x:c>
      <x:c r="AZ34" s="40" t="n">
        <x:f>'01_入力ページ'!AZ45</x:f>
        <x:v>0</x:v>
      </x:c>
      <x:c r="BA34" s="40" t="n">
        <x:f>'01_入力ページ'!BA45</x:f>
        <x:v>0</x:v>
      </x:c>
      <x:c r="BB34" s="40" t="n">
        <x:f>'01_入力ページ'!BB45</x:f>
        <x:v>0</x:v>
      </x:c>
      <x:c r="BC34" s="40" t="n">
        <x:f>'01_入力ページ'!BC45</x:f>
        <x:v>0</x:v>
      </x:c>
      <x:c r="BD34" s="40" t="n">
        <x:f>'01_入力ページ'!BD45</x:f>
        <x:v>0</x:v>
      </x:c>
      <x:c r="BE34" s="40" t="n">
        <x:f>'01_入力ページ'!BE45</x:f>
        <x:v>0</x:v>
      </x:c>
      <x:c r="BF34" s="40" t="n">
        <x:f>'01_入力ページ'!BF45</x:f>
        <x:v>0</x:v>
      </x:c>
      <x:c r="BG34" s="40" t="n">
        <x:f>'01_入力ページ'!BG45</x:f>
        <x:v>0</x:v>
      </x:c>
      <x:c r="BH34" s="40" t="n">
        <x:f>'01_入力ページ'!BH45</x:f>
        <x:v>0</x:v>
      </x:c>
      <x:c r="BI34" s="40" t="n">
        <x:f>'01_入力ページ'!BI45</x:f>
        <x:v>0</x:v>
      </x:c>
      <x:c r="BJ34" s="40" t="n">
        <x:f>'01_入力ページ'!BJ45</x:f>
        <x:v>0</x:v>
      </x:c>
    </x:row>
    <x:row r="35">
      <x:c r="A35" s="12" t="str">
        <x:v>利益</x:v>
      </x:c>
      <x:c r="B35" s="12" t="str">
        <x:v>経常利益</x:v>
      </x:c>
      <x:c r="C35" s="40" t="n">
        <x:f>C31+C32-C33-C34</x:f>
        <x:v>-482.8165833333332</x:v>
      </x:c>
      <x:c r="D35" s="40" t="n">
        <x:f>D31+D32-D33-D34</x:f>
        <x:v>-467.84935833333344</x:v>
      </x:c>
      <x:c r="E35" s="40" t="n">
        <x:f>E31+E32-E33-E34</x:f>
        <x:v>-482.8165833333332</x:v>
      </x:c>
      <x:c r="F35" s="40" t="n">
        <x:f>F31+F32-F33-F34</x:f>
        <x:v>1541.0087666666675</x:v>
      </x:c>
      <x:c r="G35" s="40" t="n">
        <x:f>G31+G32-G33-G34</x:f>
        <x:v>1541.0087666666675</x:v>
      </x:c>
      <x:c r="H35" s="40" t="n">
        <x:f>H31+H32-H33-H34</x:f>
        <x:v>-482.8165833333332</x:v>
      </x:c>
      <x:c r="I35" s="40" t="n">
        <x:f>I31+I32-I33-I34</x:f>
        <x:v>-467.84935833333344</x:v>
      </x:c>
      <x:c r="J35" s="40" t="n">
        <x:f>J31+J32-J33-J34</x:f>
        <x:v>-482.8165833333332</x:v>
      </x:c>
      <x:c r="K35" s="40" t="n">
        <x:f>K31+K32-K33-K34</x:f>
        <x:v>1541.0087666666675</x:v>
      </x:c>
      <x:c r="L35" s="40" t="n">
        <x:f>L31+L32-L33-L34</x:f>
        <x:v>3323.0724416666662</x:v>
      </x:c>
      <x:c r="M35" s="40" t="n">
        <x:f>M31+M32-M33-M34</x:f>
        <x:v>2911.3073666666655</x:v>
      </x:c>
      <x:c r="N35" s="40" t="n">
        <x:f>N31+N32-N33-N34</x:f>
        <x:v>-21.77020833333321</x:v>
      </x:c>
      <x:c r="O35" s="40" t="n">
        <x:f>O31+O32-O33-O34</x:f>
        <x:v>-482.8165833333332</x:v>
      </x:c>
      <x:c r="P35" s="40" t="n">
        <x:f>P31+P32-P33-P34</x:f>
        <x:v>-467.84935833333344</x:v>
      </x:c>
      <x:c r="Q35" s="40" t="n">
        <x:f>Q31+Q32-Q33-Q34</x:f>
        <x:v>-482.8165833333332</x:v>
      </x:c>
      <x:c r="R35" s="40" t="n">
        <x:f>R31+R32-R33-R34</x:f>
        <x:v>1541.0087666666675</x:v>
      </x:c>
      <x:c r="S35" s="40" t="n">
        <x:f>S31+S32-S33-S34</x:f>
        <x:v>1541.0087666666675</x:v>
      </x:c>
      <x:c r="T35" s="40" t="n">
        <x:f>T31+T32-T33-T34</x:f>
        <x:v>-482.8165833333332</x:v>
      </x:c>
      <x:c r="U35" s="40" t="n">
        <x:f>U31+U32-U33-U34</x:f>
        <x:v>-467.84935833333344</x:v>
      </x:c>
      <x:c r="V35" s="40" t="n">
        <x:f>V31+V32-V33-V34</x:f>
        <x:v>-482.8165833333332</x:v>
      </x:c>
      <x:c r="W35" s="40" t="n">
        <x:f>W31+W32-W33-W34</x:f>
        <x:v>1541.0087666666675</x:v>
      </x:c>
      <x:c r="X35" s="40" t="n">
        <x:f>X31+X32-X33-X34</x:f>
        <x:v>3323.0724416666662</x:v>
      </x:c>
      <x:c r="Y35" s="40" t="n">
        <x:f>Y31+Y32-Y33-Y34</x:f>
        <x:v>3048.562391666666</x:v>
      </x:c>
      <x:c r="Z35" s="40" t="n">
        <x:f>Z31+Z32-Z33-Z34</x:f>
        <x:v>-21.77020833333321</x:v>
      </x:c>
      <x:c r="AA35" s="40" t="n">
        <x:f>AA31+AA32-AA33-AA34</x:f>
        <x:v>-482.8165833333332</x:v>
      </x:c>
      <x:c r="AB35" s="40" t="n">
        <x:f>AB31+AB32-AB33-AB34</x:f>
        <x:v>-467.84935833333344</x:v>
      </x:c>
      <x:c r="AC35" s="40" t="n">
        <x:f>AC31+AC32-AC33-AC34</x:f>
        <x:v>-482.8165833333332</x:v>
      </x:c>
      <x:c r="AD35" s="40" t="n">
        <x:f>AD31+AD32-AD33-AD34</x:f>
        <x:v>1541.0087666666675</x:v>
      </x:c>
      <x:c r="AE35" s="40" t="n">
        <x:f>AE31+AE32-AE33-AE34</x:f>
        <x:v>1541.0087666666675</x:v>
      </x:c>
      <x:c r="AF35" s="40" t="n">
        <x:f>AF31+AF32-AF33-AF34</x:f>
        <x:v>-482.8165833333332</x:v>
      </x:c>
      <x:c r="AG35" s="40" t="n">
        <x:f>AG31+AG32-AG33-AG34</x:f>
        <x:v>-467.84935833333344</x:v>
      </x:c>
      <x:c r="AH35" s="40" t="n">
        <x:f>AH31+AH32-AH33-AH34</x:f>
        <x:v>-482.8165833333332</x:v>
      </x:c>
      <x:c r="AI35" s="40" t="n">
        <x:f>AI31+AI32-AI33-AI34</x:f>
        <x:v>1541.0087666666675</x:v>
      </x:c>
      <x:c r="AJ35" s="40" t="n">
        <x:f>AJ31+AJ32-AJ33-AJ34</x:f>
        <x:v>3323.0724416666662</x:v>
      </x:c>
      <x:c r="AK35" s="40" t="n">
        <x:f>AK31+AK32-AK33-AK34</x:f>
        <x:v>2911.3073666666655</x:v>
      </x:c>
      <x:c r="AL35" s="40" t="n">
        <x:f>AL31+AL32-AL33-AL34</x:f>
        <x:v>-21.77020833333321</x:v>
      </x:c>
      <x:c r="AM35" s="40" t="n">
        <x:f>AM31+AM32-AM33-AM34</x:f>
        <x:v>-482.8165833333332</x:v>
      </x:c>
      <x:c r="AN35" s="40" t="n">
        <x:f>AN31+AN32-AN33-AN34</x:f>
        <x:v>-467.84935833333344</x:v>
      </x:c>
      <x:c r="AO35" s="40" t="n">
        <x:f>AO31+AO32-AO33-AO34</x:f>
        <x:v>-482.8165833333332</x:v>
      </x:c>
      <x:c r="AP35" s="40" t="n">
        <x:f>AP31+AP32-AP33-AP34</x:f>
        <x:v>1541.0087666666675</x:v>
      </x:c>
      <x:c r="AQ35" s="40" t="n">
        <x:f>AQ31+AQ32-AQ33-AQ34</x:f>
        <x:v>1541.0087666666675</x:v>
      </x:c>
      <x:c r="AR35" s="40" t="n">
        <x:f>AR31+AR32-AR33-AR34</x:f>
        <x:v>-482.8165833333332</x:v>
      </x:c>
      <x:c r="AS35" s="40" t="n">
        <x:f>AS31+AS32-AS33-AS34</x:f>
        <x:v>-467.84935833333344</x:v>
      </x:c>
      <x:c r="AT35" s="40" t="n">
        <x:f>AT31+AT32-AT33-AT34</x:f>
        <x:v>-482.8165833333332</x:v>
      </x:c>
      <x:c r="AU35" s="40" t="n">
        <x:f>AU31+AU32-AU33-AU34</x:f>
        <x:v>1541.0087666666675</x:v>
      </x:c>
      <x:c r="AV35" s="40" t="n">
        <x:f>AV31+AV32-AV33-AV34</x:f>
        <x:v>3323.0724416666662</x:v>
      </x:c>
      <x:c r="AW35" s="40" t="n">
        <x:f>AW31+AW32-AW33-AW34</x:f>
        <x:v>2911.3073666666655</x:v>
      </x:c>
      <x:c r="AX35" s="40" t="n">
        <x:f>AX31+AX32-AX33-AX34</x:f>
        <x:v>-21.77020833333321</x:v>
      </x:c>
      <x:c r="AY35" s="40" t="n">
        <x:f>AY31+AY32-AY33-AY34</x:f>
        <x:v>-482.8165833333332</x:v>
      </x:c>
      <x:c r="AZ35" s="40" t="n">
        <x:f>AZ31+AZ32-AZ33-AZ34</x:f>
        <x:v>-467.84935833333344</x:v>
      </x:c>
      <x:c r="BA35" s="40" t="n">
        <x:f>BA31+BA32-BA33-BA34</x:f>
        <x:v>-482.8165833333332</x:v>
      </x:c>
      <x:c r="BB35" s="40" t="n">
        <x:f>BB31+BB32-BB33-BB34</x:f>
        <x:v>1541.0087666666675</x:v>
      </x:c>
      <x:c r="BC35" s="40" t="n">
        <x:f>BC31+BC32-BC33-BC34</x:f>
        <x:v>1541.0087666666675</x:v>
      </x:c>
      <x:c r="BD35" s="40" t="n">
        <x:f>BD31+BD32-BD33-BD34</x:f>
        <x:v>-482.8165833333332</x:v>
      </x:c>
      <x:c r="BE35" s="40" t="n">
        <x:f>BE31+BE32-BE33-BE34</x:f>
        <x:v>-467.84935833333344</x:v>
      </x:c>
      <x:c r="BF35" s="40" t="n">
        <x:f>BF31+BF32-BF33-BF34</x:f>
        <x:v>-482.8165833333332</x:v>
      </x:c>
      <x:c r="BG35" s="40" t="n">
        <x:f>BG31+BG32-BG33-BG34</x:f>
        <x:v>1541.0087666666675</x:v>
      </x:c>
      <x:c r="BH35" s="40" t="n">
        <x:f>BH31+BH32-BH33-BH34</x:f>
        <x:v>3323.0724416666662</x:v>
      </x:c>
      <x:c r="BI35" s="40" t="n">
        <x:f>BI31+BI32-BI33-BI34</x:f>
        <x:v>2911.3073666666655</x:v>
      </x:c>
      <x:c r="BJ35" s="40" t="n">
        <x:f>BJ31+BJ32-BJ33-BJ34</x:f>
        <x:v>-21.77020833333321</x:v>
      </x:c>
    </x:row>
    <x:row r="36">
      <x:c r="A36" s="12" t="str">
        <x:v>税金</x:v>
      </x:c>
      <x:c r="B36" s="12" t="str">
        <x:v>法人税等</x:v>
      </x:c>
      <x:c r="C36" s="40" t="n">
        <x:f>'01_入力ページ'!C46</x:f>
        <x:v>74.47650000000003</x:v>
      </x:c>
      <x:c r="D36" s="40" t="n">
        <x:f>'01_入力ページ'!D46</x:f>
        <x:v>79.75904999999995</x:v>
      </x:c>
      <x:c r="E36" s="40" t="n">
        <x:f>'01_入力ページ'!E46</x:f>
        <x:v>74.47650000000003</x:v>
      </x:c>
      <x:c r="F36" s="40" t="n">
        <x:f>'01_入力ページ'!F46</x:f>
        <x:v>788.7678000000003</x:v>
      </x:c>
      <x:c r="G36" s="40" t="n">
        <x:f>'01_入力ページ'!G46</x:f>
        <x:v>788.7678000000003</x:v>
      </x:c>
      <x:c r="H36" s="40" t="n">
        <x:f>'01_入力ページ'!H46</x:f>
        <x:v>74.47650000000003</x:v>
      </x:c>
      <x:c r="I36" s="40" t="n">
        <x:f>'01_入力ページ'!I46</x:f>
        <x:v>79.75904999999995</x:v>
      </x:c>
      <x:c r="J36" s="40" t="n">
        <x:f>'01_入力ページ'!J46</x:f>
        <x:v>74.47650000000003</x:v>
      </x:c>
      <x:c r="K36" s="40" t="n">
        <x:f>'01_入力ページ'!K46</x:f>
        <x:v>788.7678000000003</x:v>
      </x:c>
      <x:c r="L36" s="40" t="n">
        <x:f>'01_入力ページ'!L46</x:f>
        <x:v>1417.73145</x:v>
      </x:c>
      <x:c r="M36" s="40" t="n">
        <x:f>'01_入力ページ'!M46</x:f>
        <x:v>1272.4025999999997</x:v>
      </x:c>
      <x:c r="N36" s="40" t="n">
        <x:f>'01_入力ページ'!N46</x:f>
        <x:v>237.19875000000002</x:v>
      </x:c>
      <x:c r="O36" s="40" t="n">
        <x:f>'01_入力ページ'!O46</x:f>
        <x:v>74.47650000000003</x:v>
      </x:c>
      <x:c r="P36" s="40" t="n">
        <x:f>'01_入力ページ'!P46</x:f>
        <x:v>79.75904999999995</x:v>
      </x:c>
      <x:c r="Q36" s="40" t="n">
        <x:f>'01_入力ページ'!Q46</x:f>
        <x:v>74.47650000000003</x:v>
      </x:c>
      <x:c r="R36" s="40" t="n">
        <x:f>'01_入力ページ'!R46</x:f>
        <x:v>788.7678000000003</x:v>
      </x:c>
      <x:c r="S36" s="40" t="n">
        <x:f>'01_入力ページ'!S46</x:f>
        <x:v>788.7678000000003</x:v>
      </x:c>
      <x:c r="T36" s="40" t="n">
        <x:f>'01_入力ページ'!T46</x:f>
        <x:v>74.47650000000003</x:v>
      </x:c>
      <x:c r="U36" s="40" t="n">
        <x:f>'01_入力ページ'!U46</x:f>
        <x:v>79.75904999999995</x:v>
      </x:c>
      <x:c r="V36" s="40" t="n">
        <x:f>'01_入力ページ'!V46</x:f>
        <x:v>74.47650000000003</x:v>
      </x:c>
      <x:c r="W36" s="40" t="n">
        <x:f>'01_入力ページ'!W46</x:f>
        <x:v>788.7678000000003</x:v>
      </x:c>
      <x:c r="X36" s="40" t="n">
        <x:f>'01_入力ページ'!X46</x:f>
        <x:v>1417.73145</x:v>
      </x:c>
      <x:c r="Y36" s="40" t="n">
        <x:f>'01_入力ページ'!Y46</x:f>
        <x:v>1320.8455499999998</x:v>
      </x:c>
      <x:c r="Z36" s="40" t="n">
        <x:f>'01_入力ページ'!Z46</x:f>
        <x:v>237.19875000000002</x:v>
      </x:c>
      <x:c r="AA36" s="40" t="n">
        <x:f>'01_入力ページ'!AA46</x:f>
        <x:v>74.47650000000003</x:v>
      </x:c>
      <x:c r="AB36" s="40" t="n">
        <x:f>'01_入力ページ'!AB46</x:f>
        <x:v>79.75904999999995</x:v>
      </x:c>
      <x:c r="AC36" s="40" t="n">
        <x:f>'01_入力ページ'!AC46</x:f>
        <x:v>74.47650000000003</x:v>
      </x:c>
      <x:c r="AD36" s="40" t="n">
        <x:f>'01_入力ページ'!AD46</x:f>
        <x:v>788.7678000000003</x:v>
      </x:c>
      <x:c r="AE36" s="40" t="n">
        <x:f>'01_入力ページ'!AE46</x:f>
        <x:v>788.7678000000003</x:v>
      </x:c>
      <x:c r="AF36" s="40" t="n">
        <x:f>'01_入力ページ'!AF46</x:f>
        <x:v>74.47650000000003</x:v>
      </x:c>
      <x:c r="AG36" s="40" t="n">
        <x:f>'01_入力ページ'!AG46</x:f>
        <x:v>79.75904999999995</x:v>
      </x:c>
      <x:c r="AH36" s="40" t="n">
        <x:f>'01_入力ページ'!AH46</x:f>
        <x:v>74.47650000000003</x:v>
      </x:c>
      <x:c r="AI36" s="40" t="n">
        <x:f>'01_入力ページ'!AI46</x:f>
        <x:v>788.7678000000003</x:v>
      </x:c>
      <x:c r="AJ36" s="40" t="n">
        <x:f>'01_入力ページ'!AJ46</x:f>
        <x:v>1417.73145</x:v>
      </x:c>
      <x:c r="AK36" s="40" t="n">
        <x:f>'01_入力ページ'!AK46</x:f>
        <x:v>1272.4025999999997</x:v>
      </x:c>
      <x:c r="AL36" s="40" t="n">
        <x:f>'01_入力ページ'!AL46</x:f>
        <x:v>237.19875000000002</x:v>
      </x:c>
      <x:c r="AM36" s="40" t="n">
        <x:f>'01_入力ページ'!AM46</x:f>
        <x:v>74.47650000000003</x:v>
      </x:c>
      <x:c r="AN36" s="40" t="n">
        <x:f>'01_入力ページ'!AN46</x:f>
        <x:v>79.75904999999995</x:v>
      </x:c>
      <x:c r="AO36" s="40" t="n">
        <x:f>'01_入力ページ'!AO46</x:f>
        <x:v>74.47650000000003</x:v>
      </x:c>
      <x:c r="AP36" s="40" t="n">
        <x:f>'01_入力ページ'!AP46</x:f>
        <x:v>788.7678000000003</x:v>
      </x:c>
      <x:c r="AQ36" s="40" t="n">
        <x:f>'01_入力ページ'!AQ46</x:f>
        <x:v>788.7678000000003</x:v>
      </x:c>
      <x:c r="AR36" s="40" t="n">
        <x:f>'01_入力ページ'!AR46</x:f>
        <x:v>74.47650000000003</x:v>
      </x:c>
      <x:c r="AS36" s="40" t="n">
        <x:f>'01_入力ページ'!AS46</x:f>
        <x:v>79.75904999999995</x:v>
      </x:c>
      <x:c r="AT36" s="40" t="n">
        <x:f>'01_入力ページ'!AT46</x:f>
        <x:v>74.47650000000003</x:v>
      </x:c>
      <x:c r="AU36" s="40" t="n">
        <x:f>'01_入力ページ'!AU46</x:f>
        <x:v>788.7678000000003</x:v>
      </x:c>
      <x:c r="AV36" s="40" t="n">
        <x:f>'01_入力ページ'!AV46</x:f>
        <x:v>1417.73145</x:v>
      </x:c>
      <x:c r="AW36" s="40" t="n">
        <x:f>'01_入力ページ'!AW46</x:f>
        <x:v>1272.4025999999997</x:v>
      </x:c>
      <x:c r="AX36" s="40" t="n">
        <x:f>'01_入力ページ'!AX46</x:f>
        <x:v>237.19875000000002</x:v>
      </x:c>
      <x:c r="AY36" s="40" t="n">
        <x:f>'01_入力ページ'!AY46</x:f>
        <x:v>74.47650000000003</x:v>
      </x:c>
      <x:c r="AZ36" s="40" t="n">
        <x:f>'01_入力ページ'!AZ46</x:f>
        <x:v>79.75904999999995</x:v>
      </x:c>
      <x:c r="BA36" s="40" t="n">
        <x:f>'01_入力ページ'!BA46</x:f>
        <x:v>74.47650000000003</x:v>
      </x:c>
      <x:c r="BB36" s="40" t="n">
        <x:f>'01_入力ページ'!BB46</x:f>
        <x:v>788.7678000000003</x:v>
      </x:c>
      <x:c r="BC36" s="40" t="n">
        <x:f>'01_入力ページ'!BC46</x:f>
        <x:v>788.7678000000003</x:v>
      </x:c>
      <x:c r="BD36" s="40" t="n">
        <x:f>'01_入力ページ'!BD46</x:f>
        <x:v>74.47650000000003</x:v>
      </x:c>
      <x:c r="BE36" s="40" t="n">
        <x:f>'01_入力ページ'!BE46</x:f>
        <x:v>79.75904999999995</x:v>
      </x:c>
      <x:c r="BF36" s="40" t="n">
        <x:f>'01_入力ページ'!BF46</x:f>
        <x:v>74.47650000000003</x:v>
      </x:c>
      <x:c r="BG36" s="40" t="n">
        <x:f>'01_入力ページ'!BG46</x:f>
        <x:v>788.7678000000003</x:v>
      </x:c>
      <x:c r="BH36" s="40" t="n">
        <x:f>'01_入力ページ'!BH46</x:f>
        <x:v>1417.73145</x:v>
      </x:c>
      <x:c r="BI36" s="40" t="n">
        <x:f>'01_入力ページ'!BI46</x:f>
        <x:v>1272.4025999999997</x:v>
      </x:c>
      <x:c r="BJ36" s="40" t="n">
        <x:f>'01_入力ページ'!BJ46</x:f>
        <x:v>237.19875000000002</x:v>
      </x:c>
    </x:row>
    <x:row r="37">
      <x:c r="A37" s="12" t="str">
        <x:v>利益</x:v>
      </x:c>
      <x:c r="B37" s="12" t="str">
        <x:v>当期純利益</x:v>
      </x:c>
      <x:c r="C37" s="40" t="n">
        <x:f>C35-C36</x:f>
        <x:v>-557.2930833333332</x:v>
      </x:c>
      <x:c r="D37" s="40" t="n">
        <x:f>D35-D36</x:f>
        <x:v>-547.6084083333334</x:v>
      </x:c>
      <x:c r="E37" s="40" t="n">
        <x:f>E35-E36</x:f>
        <x:v>-557.2930833333332</x:v>
      </x:c>
      <x:c r="F37" s="40" t="n">
        <x:f>F35-F36</x:f>
        <x:v>752.2409666666672</x:v>
      </x:c>
      <x:c r="G37" s="40" t="n">
        <x:f>G35-G36</x:f>
        <x:v>752.2409666666672</x:v>
      </x:c>
      <x:c r="H37" s="40" t="n">
        <x:f>H35-H36</x:f>
        <x:v>-557.2930833333332</x:v>
      </x:c>
      <x:c r="I37" s="40" t="n">
        <x:f>I35-I36</x:f>
        <x:v>-547.6084083333334</x:v>
      </x:c>
      <x:c r="J37" s="40" t="n">
        <x:f>J35-J36</x:f>
        <x:v>-557.2930833333332</x:v>
      </x:c>
      <x:c r="K37" s="40" t="n">
        <x:f>K35-K36</x:f>
        <x:v>752.2409666666672</x:v>
      </x:c>
      <x:c r="L37" s="40" t="n">
        <x:f>L35-L36</x:f>
        <x:v>1905.3409916666662</x:v>
      </x:c>
      <x:c r="M37" s="40" t="n">
        <x:f>M35-M36</x:f>
        <x:v>1638.9047666666659</x:v>
      </x:c>
      <x:c r="N37" s="40" t="n">
        <x:f>N35-N36</x:f>
        <x:v>-258.9689583333332</x:v>
      </x:c>
      <x:c r="O37" s="40" t="n">
        <x:f>O35-O36</x:f>
        <x:v>-557.2930833333332</x:v>
      </x:c>
      <x:c r="P37" s="40" t="n">
        <x:f>P35-P36</x:f>
        <x:v>-547.6084083333334</x:v>
      </x:c>
      <x:c r="Q37" s="40" t="n">
        <x:f>Q35-Q36</x:f>
        <x:v>-557.2930833333332</x:v>
      </x:c>
      <x:c r="R37" s="40" t="n">
        <x:f>R35-R36</x:f>
        <x:v>752.2409666666672</x:v>
      </x:c>
      <x:c r="S37" s="40" t="n">
        <x:f>S35-S36</x:f>
        <x:v>752.2409666666672</x:v>
      </x:c>
      <x:c r="T37" s="40" t="n">
        <x:f>T35-T36</x:f>
        <x:v>-557.2930833333332</x:v>
      </x:c>
      <x:c r="U37" s="40" t="n">
        <x:f>U35-U36</x:f>
        <x:v>-547.6084083333334</x:v>
      </x:c>
      <x:c r="V37" s="40" t="n">
        <x:f>V35-V36</x:f>
        <x:v>-557.2930833333332</x:v>
      </x:c>
      <x:c r="W37" s="40" t="n">
        <x:f>W35-W36</x:f>
        <x:v>752.2409666666672</x:v>
      </x:c>
      <x:c r="X37" s="40" t="n">
        <x:f>X35-X36</x:f>
        <x:v>1905.3409916666662</x:v>
      </x:c>
      <x:c r="Y37" s="40" t="n">
        <x:f>Y35-Y36</x:f>
        <x:v>1727.7168416666661</x:v>
      </x:c>
      <x:c r="Z37" s="40" t="n">
        <x:f>Z35-Z36</x:f>
        <x:v>-258.9689583333332</x:v>
      </x:c>
      <x:c r="AA37" s="40" t="n">
        <x:f>AA35-AA36</x:f>
        <x:v>-557.2930833333332</x:v>
      </x:c>
      <x:c r="AB37" s="40" t="n">
        <x:f>AB35-AB36</x:f>
        <x:v>-547.6084083333334</x:v>
      </x:c>
      <x:c r="AC37" s="40" t="n">
        <x:f>AC35-AC36</x:f>
        <x:v>-557.2930833333332</x:v>
      </x:c>
      <x:c r="AD37" s="40" t="n">
        <x:f>AD35-AD36</x:f>
        <x:v>752.2409666666672</x:v>
      </x:c>
      <x:c r="AE37" s="40" t="n">
        <x:f>AE35-AE36</x:f>
        <x:v>752.2409666666672</x:v>
      </x:c>
      <x:c r="AF37" s="40" t="n">
        <x:f>AF35-AF36</x:f>
        <x:v>-557.2930833333332</x:v>
      </x:c>
      <x:c r="AG37" s="40" t="n">
        <x:f>AG35-AG36</x:f>
        <x:v>-547.6084083333334</x:v>
      </x:c>
      <x:c r="AH37" s="40" t="n">
        <x:f>AH35-AH36</x:f>
        <x:v>-557.2930833333332</x:v>
      </x:c>
      <x:c r="AI37" s="40" t="n">
        <x:f>AI35-AI36</x:f>
        <x:v>752.2409666666672</x:v>
      </x:c>
      <x:c r="AJ37" s="40" t="n">
        <x:f>AJ35-AJ36</x:f>
        <x:v>1905.3409916666662</x:v>
      </x:c>
      <x:c r="AK37" s="40" t="n">
        <x:f>AK35-AK36</x:f>
        <x:v>1638.9047666666659</x:v>
      </x:c>
      <x:c r="AL37" s="40" t="n">
        <x:f>AL35-AL36</x:f>
        <x:v>-258.9689583333332</x:v>
      </x:c>
      <x:c r="AM37" s="40" t="n">
        <x:f>AM35-AM36</x:f>
        <x:v>-557.2930833333332</x:v>
      </x:c>
      <x:c r="AN37" s="40" t="n">
        <x:f>AN35-AN36</x:f>
        <x:v>-547.6084083333334</x:v>
      </x:c>
      <x:c r="AO37" s="40" t="n">
        <x:f>AO35-AO36</x:f>
        <x:v>-557.2930833333332</x:v>
      </x:c>
      <x:c r="AP37" s="40" t="n">
        <x:f>AP35-AP36</x:f>
        <x:v>752.2409666666672</x:v>
      </x:c>
      <x:c r="AQ37" s="40" t="n">
        <x:f>AQ35-AQ36</x:f>
        <x:v>752.2409666666672</x:v>
      </x:c>
      <x:c r="AR37" s="40" t="n">
        <x:f>AR35-AR36</x:f>
        <x:v>-557.2930833333332</x:v>
      </x:c>
      <x:c r="AS37" s="40" t="n">
        <x:f>AS35-AS36</x:f>
        <x:v>-547.6084083333334</x:v>
      </x:c>
      <x:c r="AT37" s="40" t="n">
        <x:f>AT35-AT36</x:f>
        <x:v>-557.2930833333332</x:v>
      </x:c>
      <x:c r="AU37" s="40" t="n">
        <x:f>AU35-AU36</x:f>
        <x:v>752.2409666666672</x:v>
      </x:c>
      <x:c r="AV37" s="40" t="n">
        <x:f>AV35-AV36</x:f>
        <x:v>1905.3409916666662</x:v>
      </x:c>
      <x:c r="AW37" s="40" t="n">
        <x:f>AW35-AW36</x:f>
        <x:v>1638.9047666666659</x:v>
      </x:c>
      <x:c r="AX37" s="40" t="n">
        <x:f>AX35-AX36</x:f>
        <x:v>-258.9689583333332</x:v>
      </x:c>
      <x:c r="AY37" s="40" t="n">
        <x:f>AY35-AY36</x:f>
        <x:v>-557.2930833333332</x:v>
      </x:c>
      <x:c r="AZ37" s="40" t="n">
        <x:f>AZ35-AZ36</x:f>
        <x:v>-547.6084083333334</x:v>
      </x:c>
      <x:c r="BA37" s="40" t="n">
        <x:f>BA35-BA36</x:f>
        <x:v>-557.2930833333332</x:v>
      </x:c>
      <x:c r="BB37" s="40" t="n">
        <x:f>BB35-BB36</x:f>
        <x:v>752.2409666666672</x:v>
      </x:c>
      <x:c r="BC37" s="40" t="n">
        <x:f>BC35-BC36</x:f>
        <x:v>752.2409666666672</x:v>
      </x:c>
      <x:c r="BD37" s="40" t="n">
        <x:f>BD35-BD36</x:f>
        <x:v>-557.2930833333332</x:v>
      </x:c>
      <x:c r="BE37" s="40" t="n">
        <x:f>BE35-BE36</x:f>
        <x:v>-547.6084083333334</x:v>
      </x:c>
      <x:c r="BF37" s="40" t="n">
        <x:f>BF35-BF36</x:f>
        <x:v>-557.2930833333332</x:v>
      </x:c>
      <x:c r="BG37" s="40" t="n">
        <x:f>BG35-BG36</x:f>
        <x:v>752.2409666666672</x:v>
      </x:c>
      <x:c r="BH37" s="40" t="n">
        <x:f>BH35-BH36</x:f>
        <x:v>1905.3409916666662</x:v>
      </x:c>
      <x:c r="BI37" s="40" t="n">
        <x:f>BI35-BI36</x:f>
        <x:v>1638.9047666666659</x:v>
      </x:c>
      <x:c r="BJ37" s="40" t="n">
        <x:f>BJ35-BJ36</x:f>
        <x:v>-258.9689583333332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</x:row>
  </x:sheetData>
  <x:mergeCells>
    <x:mergeCell ref="A1:B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月次BS｜実績残高があれば優先・なければ3表計算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</x:row>
    <x:row r="2">
      <x:c r="A2" s="2" t="str">
        <x:v>単位</x:v>
      </x:c>
      <x:c r="B2" s="2" t="str">
        <x:v>千円 / % / 回 / 倍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</x:row>
    <x:row r="5">
      <x:c r="A5" s="9" t="str">
        <x:v>区分</x:v>
      </x:c>
      <x:c r="B5" s="9" t="str">
        <x:v>項目</x:v>
      </x:c>
      <x:c r="C5" s="9" t="str">
        <x:v>2026/04</x:v>
      </x:c>
      <x:c r="D5" s="9" t="str">
        <x:v>2026/05</x:v>
      </x:c>
      <x:c r="E5" s="9" t="str">
        <x:v>2026/06</x:v>
      </x:c>
      <x:c r="F5" s="9" t="str">
        <x:v>2026/07</x:v>
      </x:c>
      <x:c r="G5" s="9" t="str">
        <x:v>2026/08</x:v>
      </x:c>
      <x:c r="H5" s="9" t="str">
        <x:v>2026/09</x:v>
      </x:c>
      <x:c r="I5" s="9" t="str">
        <x:v>2026/10</x:v>
      </x:c>
      <x:c r="J5" s="9" t="str">
        <x:v>2026/11</x:v>
      </x:c>
      <x:c r="K5" s="9" t="str">
        <x:v>2026/12</x:v>
      </x:c>
      <x:c r="L5" s="9" t="str">
        <x:v>2027/01</x:v>
      </x:c>
      <x:c r="M5" s="9" t="str">
        <x:v>2027/02</x:v>
      </x:c>
      <x:c r="N5" s="9" t="str">
        <x:v>2027/03</x:v>
      </x:c>
      <x:c r="O5" s="9" t="str">
        <x:v>2027/04</x:v>
      </x:c>
      <x:c r="P5" s="9" t="str">
        <x:v>2027/05</x:v>
      </x:c>
      <x:c r="Q5" s="9" t="str">
        <x:v>2027/06</x:v>
      </x:c>
      <x:c r="R5" s="9" t="str">
        <x:v>2027/07</x:v>
      </x:c>
      <x:c r="S5" s="9" t="str">
        <x:v>2027/08</x:v>
      </x:c>
      <x:c r="T5" s="9" t="str">
        <x:v>2027/09</x:v>
      </x:c>
      <x:c r="U5" s="9" t="str">
        <x:v>2027/10</x:v>
      </x:c>
      <x:c r="V5" s="9" t="str">
        <x:v>2027/11</x:v>
      </x:c>
      <x:c r="W5" s="9" t="str">
        <x:v>2027/12</x:v>
      </x:c>
      <x:c r="X5" s="9" t="str">
        <x:v>2028/01</x:v>
      </x:c>
      <x:c r="Y5" s="9" t="str">
        <x:v>2028/02</x:v>
      </x:c>
      <x:c r="Z5" s="9" t="str">
        <x:v>2028/03</x:v>
      </x:c>
      <x:c r="AA5" s="9" t="str">
        <x:v>2028/04</x:v>
      </x:c>
      <x:c r="AB5" s="9" t="str">
        <x:v>2028/05</x:v>
      </x:c>
      <x:c r="AC5" s="9" t="str">
        <x:v>2028/06</x:v>
      </x:c>
      <x:c r="AD5" s="9" t="str">
        <x:v>2028/07</x:v>
      </x:c>
      <x:c r="AE5" s="9" t="str">
        <x:v>2028/08</x:v>
      </x:c>
      <x:c r="AF5" s="9" t="str">
        <x:v>2028/09</x:v>
      </x:c>
      <x:c r="AG5" s="9" t="str">
        <x:v>2028/10</x:v>
      </x:c>
      <x:c r="AH5" s="9" t="str">
        <x:v>2028/11</x:v>
      </x:c>
      <x:c r="AI5" s="9" t="str">
        <x:v>2028/12</x:v>
      </x:c>
      <x:c r="AJ5" s="9" t="str">
        <x:v>2029/01</x:v>
      </x:c>
      <x:c r="AK5" s="9" t="str">
        <x:v>2029/02</x:v>
      </x:c>
      <x:c r="AL5" s="9" t="str">
        <x:v>2029/03</x:v>
      </x:c>
      <x:c r="AM5" s="9" t="str">
        <x:v>2029/04</x:v>
      </x:c>
      <x:c r="AN5" s="9" t="str">
        <x:v>2029/05</x:v>
      </x:c>
      <x:c r="AO5" s="9" t="str">
        <x:v>2029/06</x:v>
      </x:c>
      <x:c r="AP5" s="9" t="str">
        <x:v>2029/07</x:v>
      </x:c>
      <x:c r="AQ5" s="9" t="str">
        <x:v>2029/08</x:v>
      </x:c>
      <x:c r="AR5" s="9" t="str">
        <x:v>2029/09</x:v>
      </x:c>
      <x:c r="AS5" s="9" t="str">
        <x:v>2029/10</x:v>
      </x:c>
      <x:c r="AT5" s="9" t="str">
        <x:v>2029/11</x:v>
      </x:c>
      <x:c r="AU5" s="9" t="str">
        <x:v>2029/12</x:v>
      </x:c>
      <x:c r="AV5" s="9" t="str">
        <x:v>2030/01</x:v>
      </x:c>
      <x:c r="AW5" s="9" t="str">
        <x:v>2030/02</x:v>
      </x:c>
      <x:c r="AX5" s="9" t="str">
        <x:v>2030/03</x:v>
      </x:c>
      <x:c r="AY5" s="9" t="str">
        <x:v>2030/04</x:v>
      </x:c>
      <x:c r="AZ5" s="9" t="str">
        <x:v>2030/05</x:v>
      </x:c>
      <x:c r="BA5" s="9" t="str">
        <x:v>2030/06</x:v>
      </x:c>
      <x:c r="BB5" s="9" t="str">
        <x:v>2030/07</x:v>
      </x:c>
      <x:c r="BC5" s="9" t="str">
        <x:v>2030/08</x:v>
      </x:c>
      <x:c r="BD5" s="9" t="str">
        <x:v>2030/09</x:v>
      </x:c>
      <x:c r="BE5" s="9" t="str">
        <x:v>2030/10</x:v>
      </x:c>
      <x:c r="BF5" s="9" t="str">
        <x:v>2030/11</x:v>
      </x:c>
      <x:c r="BG5" s="9" t="str">
        <x:v>2030/12</x:v>
      </x:c>
      <x:c r="BH5" s="9" t="str">
        <x:v>2031/01</x:v>
      </x:c>
      <x:c r="BI5" s="9" t="str">
        <x:v>2031/02</x:v>
      </x:c>
      <x:c r="BJ5" s="9" t="str">
        <x:v>2031/03</x:v>
      </x:c>
    </x:row>
    <x:row r="6">
      <x:c r="A6" s="12" t="str">
        <x:v>資産</x:v>
      </x:c>
      <x:c r="B6" s="12" t="str">
        <x:v>現預金</x:v>
      </x:c>
      <x:c r="C6" s="40" t="n">
        <x:f>IF('01_入力ページ'!C47&lt;&gt;"",'01_入力ページ'!C47,26260+'08_CF'!C19)</x:f>
        <x:v>27387.140166666668</x:v>
      </x:c>
      <x:c r="D6" s="40" t="n">
        <x:f>IF('01_入力ページ'!D47&lt;&gt;"",'01_入力ページ'!D47,C6+'08_CF'!D19)</x:f>
        <x:v>27327.015629301077</x:v>
      </x:c>
      <x:c r="E6" s="40" t="n">
        <x:f>IF('01_入力ページ'!E47&lt;&gt;"",'01_入力ページ'!E47,D6+'08_CF'!E19)</x:f>
        <x:v>27282.238675</x:v>
      </x:c>
      <x:c r="F6" s="40" t="n">
        <x:f>IF('01_入力ページ'!F47&lt;&gt;"",'01_入力ページ'!F47,E6+'08_CF'!F19)</x:f>
        <x:v>28239.45726263441</x:v>
      </x:c>
      <x:c r="G6" s="40" t="n">
        <x:f>IF('01_入力ページ'!G47&lt;&gt;"",'01_入力ページ'!G47,F6+'08_CF'!G19)</x:f>
        <x:v>29491.698229301077</x:v>
      </x:c>
      <x:c r="H6" s="40" t="n">
        <x:f>IF('01_入力ページ'!H47&lt;&gt;"",'01_入力ページ'!H47,G6+'08_CF'!H19)</x:f>
        <x:v>29729.427525000003</x:v>
      </x:c>
      <x:c r="I6" s="40" t="n">
        <x:f>IF('01_入力ページ'!I47&lt;&gt;"",'01_入力ページ'!I47,H6+'08_CF'!I19)</x:f>
        <x:v>29669.30298763441</x:v>
      </x:c>
      <x:c r="J6" s="40" t="n">
        <x:f>IF('01_入力ページ'!J47&lt;&gt;"",'01_入力ページ'!J47,I6+'08_CF'!J19)</x:f>
        <x:v>29624.526033333335</x:v>
      </x:c>
      <x:c r="K6" s="40" t="n">
        <x:f>IF('01_入力ページ'!K47&lt;&gt;"",'01_入力ページ'!K47,J6+'08_CF'!K19)</x:f>
        <x:v>30581.744620967744</x:v>
      </x:c>
      <x:c r="L6" s="40" t="n">
        <x:f>IF('01_入力ページ'!L47&lt;&gt;"",'01_入力ページ'!L47,K6+'08_CF'!L19)</x:f>
        <x:v>32678.95786263441</x:v>
      </x:c>
      <x:c r="M6" s="40" t="n">
        <x:f>IF('01_入力ページ'!M47&lt;&gt;"",'01_入力ページ'!M47,L6+'08_CF'!M19)</x:f>
        <x:v>34858.09304404762</x:v>
      </x:c>
      <x:c r="N6" s="40" t="n">
        <x:f>IF('01_入力ページ'!N47&lt;&gt;"",'01_入力ページ'!N47,M6+'08_CF'!N19)</x:f>
        <x:v>35611.138170967744</x:v>
      </x:c>
      <x:c r="O6" s="40" t="n">
        <x:f>IF('01_入力ページ'!O47&lt;&gt;"",'01_入力ページ'!O47,N6+'08_CF'!O19)</x:f>
        <x:v>35604.75071666667</x:v>
      </x:c>
      <x:c r="P6" s="40" t="n">
        <x:f>IF('01_入力ページ'!P47&lt;&gt;"",'01_入力ページ'!P47,O6+'08_CF'!P19)</x:f>
        <x:v>35544.62617930108</x:v>
      </x:c>
      <x:c r="Q6" s="40" t="n">
        <x:f>IF('01_入力ページ'!Q47&lt;&gt;"",'01_入力ページ'!Q47,P6+'08_CF'!Q19)</x:f>
        <x:v>35499.849225000005</x:v>
      </x:c>
      <x:c r="R6" s="40" t="n">
        <x:f>IF('01_入力ページ'!R47&lt;&gt;"",'01_入力ページ'!R47,Q6+'08_CF'!R19)</x:f>
        <x:v>36457.067812634414</x:v>
      </x:c>
      <x:c r="S6" s="40" t="n">
        <x:f>IF('01_入力ページ'!S47&lt;&gt;"",'01_入力ページ'!S47,R6+'08_CF'!S19)</x:f>
        <x:v>37709.30877930108</x:v>
      </x:c>
      <x:c r="T6" s="40" t="n">
        <x:f>IF('01_入力ページ'!T47&lt;&gt;"",'01_入力ページ'!T47,S6+'08_CF'!T19)</x:f>
        <x:v>37947.038075000004</x:v>
      </x:c>
      <x:c r="U6" s="40" t="n">
        <x:f>IF('01_入力ページ'!U47&lt;&gt;"",'01_入力ページ'!U47,T6+'08_CF'!U19)</x:f>
        <x:v>37886.91353763441</x:v>
      </x:c>
      <x:c r="V6" s="40" t="n">
        <x:f>IF('01_入力ページ'!V47&lt;&gt;"",'01_入力ページ'!V47,U6+'08_CF'!V19)</x:f>
        <x:v>37842.13658333334</x:v>
      </x:c>
      <x:c r="W6" s="40" t="n">
        <x:f>IF('01_入力ページ'!W47&lt;&gt;"",'01_入力ページ'!W47,V6+'08_CF'!W19)</x:f>
        <x:v>38799.35517096775</x:v>
      </x:c>
      <x:c r="X6" s="40" t="n">
        <x:f>IF('01_入力ページ'!X47&lt;&gt;"",'01_入力ページ'!X47,W6+'08_CF'!X19)</x:f>
        <x:v>40896.56841263441</x:v>
      </x:c>
      <x:c r="Y6" s="40" t="n">
        <x:f>IF('01_入力ページ'!Y47&lt;&gt;"",'01_入力ページ'!Y47,X6+'08_CF'!Y19)</x:f>
        <x:v>43150.180693678165</x:v>
      </x:c>
      <x:c r="Z6" s="40" t="n">
        <x:f>IF('01_入力ページ'!Z47&lt;&gt;"",'01_入力ページ'!Z47,Y6+'08_CF'!Z19)</x:f>
        <x:v>43917.56079596774</x:v>
      </x:c>
      <x:c r="AA6" s="40" t="n">
        <x:f>IF('01_入力ページ'!AA47&lt;&gt;"",'01_入力ページ'!AA47,Z6+'08_CF'!AA19)</x:f>
        <x:v>43911.17334166667</x:v>
      </x:c>
      <x:c r="AB6" s="40" t="n">
        <x:f>IF('01_入力ページ'!AB47&lt;&gt;"",'01_入力ページ'!AB47,AA6+'08_CF'!AB19)</x:f>
        <x:v>43851.04880430108</x:v>
      </x:c>
      <x:c r="AC6" s="40" t="n">
        <x:f>IF('01_入力ページ'!AC47&lt;&gt;"",'01_入力ページ'!AC47,AB6+'08_CF'!AC19)</x:f>
        <x:v>43806.271850000005</x:v>
      </x:c>
      <x:c r="AD6" s="40" t="n">
        <x:f>IF('01_入力ページ'!AD47&lt;&gt;"",'01_入力ページ'!AD47,AC6+'08_CF'!AD19)</x:f>
        <x:v>44763.49043763441</x:v>
      </x:c>
      <x:c r="AE6" s="40" t="n">
        <x:f>IF('01_入力ページ'!AE47&lt;&gt;"",'01_入力ページ'!AE47,AD6+'08_CF'!AE19)</x:f>
        <x:v>46015.73140430108</x:v>
      </x:c>
      <x:c r="AF6" s="40" t="n">
        <x:f>IF('01_入力ページ'!AF47&lt;&gt;"",'01_入力ページ'!AF47,AE6+'08_CF'!AF19)</x:f>
        <x:v>46253.4607</x:v>
      </x:c>
      <x:c r="AG6" s="40" t="n">
        <x:f>IF('01_入力ページ'!AG47&lt;&gt;"",'01_入力ページ'!AG47,AF6+'08_CF'!AG19)</x:f>
        <x:v>46193.33616263441</x:v>
      </x:c>
      <x:c r="AH6" s="40" t="n">
        <x:f>IF('01_入力ページ'!AH47&lt;&gt;"",'01_入力ページ'!AH47,AG6+'08_CF'!AH19)</x:f>
        <x:v>46148.55920833334</x:v>
      </x:c>
      <x:c r="AI6" s="40" t="n">
        <x:f>IF('01_入力ページ'!AI47&lt;&gt;"",'01_入力ページ'!AI47,AH6+'08_CF'!AI19)</x:f>
        <x:v>47105.77779596775</x:v>
      </x:c>
      <x:c r="AJ6" s="40" t="n">
        <x:f>IF('01_入力ページ'!AJ47&lt;&gt;"",'01_入力ページ'!AJ47,AI6+'08_CF'!AJ19)</x:f>
        <x:v>49202.99103763441</x:v>
      </x:c>
      <x:c r="AK6" s="40" t="n">
        <x:f>IF('01_入力ページ'!AK47&lt;&gt;"",'01_入力ページ'!AK47,AJ6+'08_CF'!AK19)</x:f>
        <x:v>51382.12621904763</x:v>
      </x:c>
      <x:c r="AL6" s="40" t="n">
        <x:f>IF('01_入力ページ'!AL47&lt;&gt;"",'01_入力ページ'!AL47,AK6+'08_CF'!AL19)</x:f>
        <x:v>52135.17134596775</x:v>
      </x:c>
      <x:c r="AM6" s="40" t="n">
        <x:f>IF('01_入力ページ'!AM47&lt;&gt;"",'01_入力ページ'!AM47,AL6+'08_CF'!AM19)</x:f>
        <x:v>52128.78389166667</x:v>
      </x:c>
      <x:c r="AN6" s="40" t="n">
        <x:f>IF('01_入力ページ'!AN47&lt;&gt;"",'01_入力ページ'!AN47,AM6+'08_CF'!AN19)</x:f>
        <x:v>52068.65935430108</x:v>
      </x:c>
      <x:c r="AO6" s="40" t="n">
        <x:f>IF('01_入力ページ'!AO47&lt;&gt;"",'01_入力ページ'!AO47,AN6+'08_CF'!AO19)</x:f>
        <x:v>52023.88240000001</x:v>
      </x:c>
      <x:c r="AP6" s="40" t="n">
        <x:f>IF('01_入力ページ'!AP47&lt;&gt;"",'01_入力ページ'!AP47,AO6+'08_CF'!AP19)</x:f>
        <x:v>52981.10098763442</x:v>
      </x:c>
      <x:c r="AQ6" s="40" t="n">
        <x:f>IF('01_入力ページ'!AQ47&lt;&gt;"",'01_入力ページ'!AQ47,AP6+'08_CF'!AQ19)</x:f>
        <x:v>54233.34195430108</x:v>
      </x:c>
      <x:c r="AR6" s="40" t="n">
        <x:f>IF('01_入力ページ'!AR47&lt;&gt;"",'01_入力ページ'!AR47,AQ6+'08_CF'!AR19)</x:f>
        <x:v>54471.07125000001</x:v>
      </x:c>
      <x:c r="AS6" s="40" t="n">
        <x:f>IF('01_入力ページ'!AS47&lt;&gt;"",'01_入力ページ'!AS47,AR6+'08_CF'!AS19)</x:f>
        <x:v>54410.94671263442</x:v>
      </x:c>
      <x:c r="AT6" s="40" t="n">
        <x:f>IF('01_入力ページ'!AT47&lt;&gt;"",'01_入力ページ'!AT47,AS6+'08_CF'!AT19)</x:f>
        <x:v>54366.169758333344</x:v>
      </x:c>
      <x:c r="AU6" s="40" t="n">
        <x:f>IF('01_入力ページ'!AU47&lt;&gt;"",'01_入力ページ'!AU47,AT6+'08_CF'!AU19)</x:f>
        <x:v>55323.38834596775</x:v>
      </x:c>
      <x:c r="AV6" s="40" t="n">
        <x:f>IF('01_入力ページ'!AV47&lt;&gt;"",'01_入力ページ'!AV47,AU6+'08_CF'!AV19)</x:f>
        <x:v>57420.60158763442</x:v>
      </x:c>
      <x:c r="AW6" s="40" t="n">
        <x:f>IF('01_入力ページ'!AW47&lt;&gt;"",'01_入力ページ'!AW47,AV6+'08_CF'!AW19)</x:f>
        <x:v>59599.736769047624</x:v>
      </x:c>
      <x:c r="AX6" s="40" t="n">
        <x:f>IF('01_入力ページ'!AX47&lt;&gt;"",'01_入力ページ'!AX47,AW6+'08_CF'!AX19)</x:f>
        <x:v>60352.781895967746</x:v>
      </x:c>
      <x:c r="AY6" s="40" t="n">
        <x:f>IF('01_入力ページ'!AY47&lt;&gt;"",'01_入力ページ'!AY47,AX6+'08_CF'!AY19)</x:f>
        <x:v>60346.39444166667</x:v>
      </x:c>
      <x:c r="AZ6" s="40" t="n">
        <x:f>IF('01_入力ページ'!AZ47&lt;&gt;"",'01_入力ページ'!AZ47,AY6+'08_CF'!AZ19)</x:f>
        <x:v>60286.26990430108</x:v>
      </x:c>
      <x:c r="BA6" s="40" t="n">
        <x:f>IF('01_入力ページ'!BA47&lt;&gt;"",'01_入力ページ'!BA47,AZ6+'08_CF'!BA19)</x:f>
        <x:v>60241.49295000001</x:v>
      </x:c>
      <x:c r="BB6" s="40" t="n">
        <x:f>IF('01_入力ページ'!BB47&lt;&gt;"",'01_入力ページ'!BB47,BA6+'08_CF'!BB19)</x:f>
        <x:v>61198.711537634415</x:v>
      </x:c>
      <x:c r="BC6" s="40" t="n">
        <x:f>IF('01_入力ページ'!BC47&lt;&gt;"",'01_入力ページ'!BC47,BB6+'08_CF'!BC19)</x:f>
        <x:v>62450.95250430108</x:v>
      </x:c>
      <x:c r="BD6" s="40" t="n">
        <x:f>IF('01_入力ページ'!BD47&lt;&gt;"",'01_入力ページ'!BD47,BC6+'08_CF'!BD19)</x:f>
        <x:v>62688.681800000006</x:v>
      </x:c>
      <x:c r="BE6" s="40" t="n">
        <x:f>IF('01_入力ページ'!BE47&lt;&gt;"",'01_入力ページ'!BE47,BD6+'08_CF'!BE19)</x:f>
        <x:v>62628.557262634415</x:v>
      </x:c>
      <x:c r="BF6" s="40" t="n">
        <x:f>IF('01_入力ページ'!BF47&lt;&gt;"",'01_入力ページ'!BF47,BE6+'08_CF'!BF19)</x:f>
        <x:v>62583.78030833334</x:v>
      </x:c>
      <x:c r="BG6" s="40" t="n">
        <x:f>IF('01_入力ページ'!BG47&lt;&gt;"",'01_入力ページ'!BG47,BF6+'08_CF'!BG19)</x:f>
        <x:v>63540.99889596775</x:v>
      </x:c>
      <x:c r="BH6" s="40" t="n">
        <x:f>IF('01_入力ページ'!BH47&lt;&gt;"",'01_入力ページ'!BH47,BG6+'08_CF'!BH19)</x:f>
        <x:v>65638.21213763441</x:v>
      </x:c>
      <x:c r="BI6" s="40" t="n">
        <x:f>IF('01_入力ページ'!BI47&lt;&gt;"",'01_入力ページ'!BI47,BH6+'08_CF'!BI19)</x:f>
        <x:v>67817.34731904762</x:v>
      </x:c>
      <x:c r="BJ6" s="40" t="n">
        <x:f>IF('01_入力ページ'!BJ47&lt;&gt;"",'01_入力ページ'!BJ47,BI6+'08_CF'!BJ19)</x:f>
        <x:v>68570.39244596774</x:v>
      </x:c>
    </x:row>
    <x:row r="7">
      <x:c r="A7" s="12" t="str">
        <x:v>資産</x:v>
      </x:c>
      <x:c r="B7" s="12" t="str">
        <x:v>売掛金</x:v>
      </x:c>
      <x:c r="C7" s="40" t="n">
        <x:f>IF('01_入力ページ'!C48&lt;&gt;"",'01_入力ページ'!C48,'06_PL'!C8*'01_入力ページ'!C54/DAY(EOMONTH('01_入力ページ'!C$5,0)))</x:f>
        <x:v>1245.45</x:v>
      </x:c>
      <x:c r="D7" s="40" t="n">
        <x:f>IF('01_入力ページ'!D48&lt;&gt;"",'01_入力ページ'!D48,'06_PL'!D8*'01_入力ページ'!D54/DAY(EOMONTH('01_入力ページ'!D$5,0)))</x:f>
        <x:v>1245.4499999999998</x:v>
      </x:c>
      <x:c r="E7" s="40" t="n">
        <x:f>IF('01_入力ページ'!E48&lt;&gt;"",'01_入力ページ'!E48,'06_PL'!E8*'01_入力ページ'!E54/DAY(EOMONTH('01_入力ページ'!E$5,0)))</x:f>
        <x:v>1245.45</x:v>
      </x:c>
      <x:c r="F7" s="40" t="n">
        <x:f>IF('01_入力ページ'!F48&lt;&gt;"",'01_入力ページ'!F48,'06_PL'!F8*'01_入力ページ'!F54/DAY(EOMONTH('01_入力ページ'!F$5,0)))</x:f>
        <x:v>2907.0000000000005</x:v>
      </x:c>
      <x:c r="G7" s="40" t="n">
        <x:f>IF('01_入力ページ'!G48&lt;&gt;"",'01_入力ページ'!G48,'06_PL'!G8*'01_入力ページ'!G54/DAY(EOMONTH('01_入力ページ'!G$5,0)))</x:f>
        <x:v>2907.0000000000005</x:v>
      </x:c>
      <x:c r="H7" s="40" t="n">
        <x:f>IF('01_入力ページ'!H48&lt;&gt;"",'01_入力ページ'!H48,'06_PL'!H8*'01_入力ページ'!H54/DAY(EOMONTH('01_入力ページ'!H$5,0)))</x:f>
        <x:v>1245.45</x:v>
      </x:c>
      <x:c r="I7" s="40" t="n">
        <x:f>IF('01_入力ページ'!I48&lt;&gt;"",'01_入力ページ'!I48,'06_PL'!I8*'01_入力ページ'!I54/DAY(EOMONTH('01_入力ページ'!I$5,0)))</x:f>
        <x:v>1245.4499999999998</x:v>
      </x:c>
      <x:c r="J7" s="40" t="n">
        <x:f>IF('01_入力ページ'!J48&lt;&gt;"",'01_入力ページ'!J48,'06_PL'!J8*'01_入力ページ'!J54/DAY(EOMONTH('01_入力ページ'!J$5,0)))</x:f>
        <x:v>1245.45</x:v>
      </x:c>
      <x:c r="K7" s="40" t="n">
        <x:f>IF('01_入力ページ'!K48&lt;&gt;"",'01_入力ページ'!K48,'06_PL'!K8*'01_入力ページ'!K54/DAY(EOMONTH('01_入力ページ'!K$5,0)))</x:f>
        <x:v>2907.0000000000005</x:v>
      </x:c>
      <x:c r="L7" s="40" t="n">
        <x:f>IF('01_入力ページ'!L48&lt;&gt;"",'01_入力ページ'!L48,'06_PL'!L8*'01_入力ページ'!L54/DAY(EOMONTH('01_入力ページ'!L$5,0)))</x:f>
        <x:v>4323.45</x:v>
      </x:c>
      <x:c r="M7" s="40" t="n">
        <x:f>IF('01_入力ページ'!M48&lt;&gt;"",'01_入力ページ'!M48,'06_PL'!M8*'01_入力ページ'!M54/DAY(EOMONTH('01_入力ページ'!M$5,0)))</x:f>
        <x:v>4323.449999999999</x:v>
      </x:c>
      <x:c r="N7" s="40" t="n">
        <x:f>IF('01_入力ページ'!N48&lt;&gt;"",'01_入力ページ'!N48,'06_PL'!N8*'01_入力ページ'!N54/DAY(EOMONTH('01_入力ページ'!N$5,0)))</x:f>
        <x:v>1638.75</x:v>
      </x:c>
      <x:c r="O7" s="40" t="n">
        <x:f>IF('01_入力ページ'!O48&lt;&gt;"",'01_入力ページ'!O48,'06_PL'!O8*'01_入力ページ'!O54/DAY(EOMONTH('01_入力ページ'!O$5,0)))</x:f>
        <x:v>1245.45</x:v>
      </x:c>
      <x:c r="P7" s="40" t="n">
        <x:f>IF('01_入力ページ'!P48&lt;&gt;"",'01_入力ページ'!P48,'06_PL'!P8*'01_入力ページ'!P54/DAY(EOMONTH('01_入力ページ'!P$5,0)))</x:f>
        <x:v>1245.4499999999998</x:v>
      </x:c>
      <x:c r="Q7" s="40" t="n">
        <x:f>IF('01_入力ページ'!Q48&lt;&gt;"",'01_入力ページ'!Q48,'06_PL'!Q8*'01_入力ページ'!Q54/DAY(EOMONTH('01_入力ページ'!Q$5,0)))</x:f>
        <x:v>1245.45</x:v>
      </x:c>
      <x:c r="R7" s="40" t="n">
        <x:f>IF('01_入力ページ'!R48&lt;&gt;"",'01_入力ページ'!R48,'06_PL'!R8*'01_入力ページ'!R54/DAY(EOMONTH('01_入力ページ'!R$5,0)))</x:f>
        <x:v>2907.0000000000005</x:v>
      </x:c>
      <x:c r="S7" s="40" t="n">
        <x:f>IF('01_入力ページ'!S48&lt;&gt;"",'01_入力ページ'!S48,'06_PL'!S8*'01_入力ページ'!S54/DAY(EOMONTH('01_入力ページ'!S$5,0)))</x:f>
        <x:v>2907.0000000000005</x:v>
      </x:c>
      <x:c r="T7" s="40" t="n">
        <x:f>IF('01_入力ページ'!T48&lt;&gt;"",'01_入力ページ'!T48,'06_PL'!T8*'01_入力ページ'!T54/DAY(EOMONTH('01_入力ページ'!T$5,0)))</x:f>
        <x:v>1245.45</x:v>
      </x:c>
      <x:c r="U7" s="40" t="n">
        <x:f>IF('01_入力ページ'!U48&lt;&gt;"",'01_入力ページ'!U48,'06_PL'!U8*'01_入力ページ'!U54/DAY(EOMONTH('01_入力ページ'!U$5,0)))</x:f>
        <x:v>1245.4499999999998</x:v>
      </x:c>
      <x:c r="V7" s="40" t="n">
        <x:f>IF('01_入力ページ'!V48&lt;&gt;"",'01_入力ページ'!V48,'06_PL'!V8*'01_入力ページ'!V54/DAY(EOMONTH('01_入力ページ'!V$5,0)))</x:f>
        <x:v>1245.45</x:v>
      </x:c>
      <x:c r="W7" s="40" t="n">
        <x:f>IF('01_入力ページ'!W48&lt;&gt;"",'01_入力ページ'!W48,'06_PL'!W8*'01_入力ページ'!W54/DAY(EOMONTH('01_入力ページ'!W$5,0)))</x:f>
        <x:v>2907.0000000000005</x:v>
      </x:c>
      <x:c r="X7" s="40" t="n">
        <x:f>IF('01_入力ページ'!X48&lt;&gt;"",'01_入力ページ'!X48,'06_PL'!X8*'01_入力ページ'!X54/DAY(EOMONTH('01_入力ページ'!X$5,0)))</x:f>
        <x:v>4323.45</x:v>
      </x:c>
      <x:c r="Y7" s="40" t="n">
        <x:f>IF('01_入力ページ'!Y48&lt;&gt;"",'01_入力ページ'!Y48,'06_PL'!Y8*'01_入力ページ'!Y54/DAY(EOMONTH('01_入力ページ'!Y$5,0)))</x:f>
        <x:v>4323.45</x:v>
      </x:c>
      <x:c r="Z7" s="40" t="n">
        <x:f>IF('01_入力ページ'!Z48&lt;&gt;"",'01_入力ページ'!Z48,'06_PL'!Z8*'01_入力ページ'!Z54/DAY(EOMONTH('01_入力ページ'!Z$5,0)))</x:f>
        <x:v>1638.75</x:v>
      </x:c>
      <x:c r="AA7" s="40" t="n">
        <x:f>IF('01_入力ページ'!AA48&lt;&gt;"",'01_入力ページ'!AA48,'06_PL'!AA8*'01_入力ページ'!AA54/DAY(EOMONTH('01_入力ページ'!AA$5,0)))</x:f>
        <x:v>1245.45</x:v>
      </x:c>
      <x:c r="AB7" s="40" t="n">
        <x:f>IF('01_入力ページ'!AB48&lt;&gt;"",'01_入力ページ'!AB48,'06_PL'!AB8*'01_入力ページ'!AB54/DAY(EOMONTH('01_入力ページ'!AB$5,0)))</x:f>
        <x:v>1245.4499999999998</x:v>
      </x:c>
      <x:c r="AC7" s="40" t="n">
        <x:f>IF('01_入力ページ'!AC48&lt;&gt;"",'01_入力ページ'!AC48,'06_PL'!AC8*'01_入力ページ'!AC54/DAY(EOMONTH('01_入力ページ'!AC$5,0)))</x:f>
        <x:v>1245.45</x:v>
      </x:c>
      <x:c r="AD7" s="40" t="n">
        <x:f>IF('01_入力ページ'!AD48&lt;&gt;"",'01_入力ページ'!AD48,'06_PL'!AD8*'01_入力ページ'!AD54/DAY(EOMONTH('01_入力ページ'!AD$5,0)))</x:f>
        <x:v>2907.0000000000005</x:v>
      </x:c>
      <x:c r="AE7" s="40" t="n">
        <x:f>IF('01_入力ページ'!AE48&lt;&gt;"",'01_入力ページ'!AE48,'06_PL'!AE8*'01_入力ページ'!AE54/DAY(EOMONTH('01_入力ページ'!AE$5,0)))</x:f>
        <x:v>2907.0000000000005</x:v>
      </x:c>
      <x:c r="AF7" s="40" t="n">
        <x:f>IF('01_入力ページ'!AF48&lt;&gt;"",'01_入力ページ'!AF48,'06_PL'!AF8*'01_入力ページ'!AF54/DAY(EOMONTH('01_入力ページ'!AF$5,0)))</x:f>
        <x:v>1245.45</x:v>
      </x:c>
      <x:c r="AG7" s="40" t="n">
        <x:f>IF('01_入力ページ'!AG48&lt;&gt;"",'01_入力ページ'!AG48,'06_PL'!AG8*'01_入力ページ'!AG54/DAY(EOMONTH('01_入力ページ'!AG$5,0)))</x:f>
        <x:v>1245.4499999999998</x:v>
      </x:c>
      <x:c r="AH7" s="40" t="n">
        <x:f>IF('01_入力ページ'!AH48&lt;&gt;"",'01_入力ページ'!AH48,'06_PL'!AH8*'01_入力ページ'!AH54/DAY(EOMONTH('01_入力ページ'!AH$5,0)))</x:f>
        <x:v>1245.45</x:v>
      </x:c>
      <x:c r="AI7" s="40" t="n">
        <x:f>IF('01_入力ページ'!AI48&lt;&gt;"",'01_入力ページ'!AI48,'06_PL'!AI8*'01_入力ページ'!AI54/DAY(EOMONTH('01_入力ページ'!AI$5,0)))</x:f>
        <x:v>2907.0000000000005</x:v>
      </x:c>
      <x:c r="AJ7" s="40" t="n">
        <x:f>IF('01_入力ページ'!AJ48&lt;&gt;"",'01_入力ページ'!AJ48,'06_PL'!AJ8*'01_入力ページ'!AJ54/DAY(EOMONTH('01_入力ページ'!AJ$5,0)))</x:f>
        <x:v>4323.45</x:v>
      </x:c>
      <x:c r="AK7" s="40" t="n">
        <x:f>IF('01_入力ページ'!AK48&lt;&gt;"",'01_入力ページ'!AK48,'06_PL'!AK8*'01_入力ページ'!AK54/DAY(EOMONTH('01_入力ページ'!AK$5,0)))</x:f>
        <x:v>4323.449999999999</x:v>
      </x:c>
      <x:c r="AL7" s="40" t="n">
        <x:f>IF('01_入力ページ'!AL48&lt;&gt;"",'01_入力ページ'!AL48,'06_PL'!AL8*'01_入力ページ'!AL54/DAY(EOMONTH('01_入力ページ'!AL$5,0)))</x:f>
        <x:v>1638.75</x:v>
      </x:c>
      <x:c r="AM7" s="40" t="n">
        <x:f>IF('01_入力ページ'!AM48&lt;&gt;"",'01_入力ページ'!AM48,'06_PL'!AM8*'01_入力ページ'!AM54/DAY(EOMONTH('01_入力ページ'!AM$5,0)))</x:f>
        <x:v>1245.45</x:v>
      </x:c>
      <x:c r="AN7" s="40" t="n">
        <x:f>IF('01_入力ページ'!AN48&lt;&gt;"",'01_入力ページ'!AN48,'06_PL'!AN8*'01_入力ページ'!AN54/DAY(EOMONTH('01_入力ページ'!AN$5,0)))</x:f>
        <x:v>1245.4499999999998</x:v>
      </x:c>
      <x:c r="AO7" s="40" t="n">
        <x:f>IF('01_入力ページ'!AO48&lt;&gt;"",'01_入力ページ'!AO48,'06_PL'!AO8*'01_入力ページ'!AO54/DAY(EOMONTH('01_入力ページ'!AO$5,0)))</x:f>
        <x:v>1245.45</x:v>
      </x:c>
      <x:c r="AP7" s="40" t="n">
        <x:f>IF('01_入力ページ'!AP48&lt;&gt;"",'01_入力ページ'!AP48,'06_PL'!AP8*'01_入力ページ'!AP54/DAY(EOMONTH('01_入力ページ'!AP$5,0)))</x:f>
        <x:v>2907.0000000000005</x:v>
      </x:c>
      <x:c r="AQ7" s="40" t="n">
        <x:f>IF('01_入力ページ'!AQ48&lt;&gt;"",'01_入力ページ'!AQ48,'06_PL'!AQ8*'01_入力ページ'!AQ54/DAY(EOMONTH('01_入力ページ'!AQ$5,0)))</x:f>
        <x:v>2907.0000000000005</x:v>
      </x:c>
      <x:c r="AR7" s="40" t="n">
        <x:f>IF('01_入力ページ'!AR48&lt;&gt;"",'01_入力ページ'!AR48,'06_PL'!AR8*'01_入力ページ'!AR54/DAY(EOMONTH('01_入力ページ'!AR$5,0)))</x:f>
        <x:v>1245.45</x:v>
      </x:c>
      <x:c r="AS7" s="40" t="n">
        <x:f>IF('01_入力ページ'!AS48&lt;&gt;"",'01_入力ページ'!AS48,'06_PL'!AS8*'01_入力ページ'!AS54/DAY(EOMONTH('01_入力ページ'!AS$5,0)))</x:f>
        <x:v>1245.4499999999998</x:v>
      </x:c>
      <x:c r="AT7" s="40" t="n">
        <x:f>IF('01_入力ページ'!AT48&lt;&gt;"",'01_入力ページ'!AT48,'06_PL'!AT8*'01_入力ページ'!AT54/DAY(EOMONTH('01_入力ページ'!AT$5,0)))</x:f>
        <x:v>1245.45</x:v>
      </x:c>
      <x:c r="AU7" s="40" t="n">
        <x:f>IF('01_入力ページ'!AU48&lt;&gt;"",'01_入力ページ'!AU48,'06_PL'!AU8*'01_入力ページ'!AU54/DAY(EOMONTH('01_入力ページ'!AU$5,0)))</x:f>
        <x:v>2907.0000000000005</x:v>
      </x:c>
      <x:c r="AV7" s="40" t="n">
        <x:f>IF('01_入力ページ'!AV48&lt;&gt;"",'01_入力ページ'!AV48,'06_PL'!AV8*'01_入力ページ'!AV54/DAY(EOMONTH('01_入力ページ'!AV$5,0)))</x:f>
        <x:v>4323.45</x:v>
      </x:c>
      <x:c r="AW7" s="40" t="n">
        <x:f>IF('01_入力ページ'!AW48&lt;&gt;"",'01_入力ページ'!AW48,'06_PL'!AW8*'01_入力ページ'!AW54/DAY(EOMONTH('01_入力ページ'!AW$5,0)))</x:f>
        <x:v>4323.449999999999</x:v>
      </x:c>
      <x:c r="AX7" s="40" t="n">
        <x:f>IF('01_入力ページ'!AX48&lt;&gt;"",'01_入力ページ'!AX48,'06_PL'!AX8*'01_入力ページ'!AX54/DAY(EOMONTH('01_入力ページ'!AX$5,0)))</x:f>
        <x:v>1638.75</x:v>
      </x:c>
      <x:c r="AY7" s="40" t="n">
        <x:f>IF('01_入力ページ'!AY48&lt;&gt;"",'01_入力ページ'!AY48,'06_PL'!AY8*'01_入力ページ'!AY54/DAY(EOMONTH('01_入力ページ'!AY$5,0)))</x:f>
        <x:v>1245.45</x:v>
      </x:c>
      <x:c r="AZ7" s="40" t="n">
        <x:f>IF('01_入力ページ'!AZ48&lt;&gt;"",'01_入力ページ'!AZ48,'06_PL'!AZ8*'01_入力ページ'!AZ54/DAY(EOMONTH('01_入力ページ'!AZ$5,0)))</x:f>
        <x:v>1245.4499999999998</x:v>
      </x:c>
      <x:c r="BA7" s="40" t="n">
        <x:f>IF('01_入力ページ'!BA48&lt;&gt;"",'01_入力ページ'!BA48,'06_PL'!BA8*'01_入力ページ'!BA54/DAY(EOMONTH('01_入力ページ'!BA$5,0)))</x:f>
        <x:v>1245.45</x:v>
      </x:c>
      <x:c r="BB7" s="40" t="n">
        <x:f>IF('01_入力ページ'!BB48&lt;&gt;"",'01_入力ページ'!BB48,'06_PL'!BB8*'01_入力ページ'!BB54/DAY(EOMONTH('01_入力ページ'!BB$5,0)))</x:f>
        <x:v>2907.0000000000005</x:v>
      </x:c>
      <x:c r="BC7" s="40" t="n">
        <x:f>IF('01_入力ページ'!BC48&lt;&gt;"",'01_入力ページ'!BC48,'06_PL'!BC8*'01_入力ページ'!BC54/DAY(EOMONTH('01_入力ページ'!BC$5,0)))</x:f>
        <x:v>2907.0000000000005</x:v>
      </x:c>
      <x:c r="BD7" s="40" t="n">
        <x:f>IF('01_入力ページ'!BD48&lt;&gt;"",'01_入力ページ'!BD48,'06_PL'!BD8*'01_入力ページ'!BD54/DAY(EOMONTH('01_入力ページ'!BD$5,0)))</x:f>
        <x:v>1245.45</x:v>
      </x:c>
      <x:c r="BE7" s="40" t="n">
        <x:f>IF('01_入力ページ'!BE48&lt;&gt;"",'01_入力ページ'!BE48,'06_PL'!BE8*'01_入力ページ'!BE54/DAY(EOMONTH('01_入力ページ'!BE$5,0)))</x:f>
        <x:v>1245.4499999999998</x:v>
      </x:c>
      <x:c r="BF7" s="40" t="n">
        <x:f>IF('01_入力ページ'!BF48&lt;&gt;"",'01_入力ページ'!BF48,'06_PL'!BF8*'01_入力ページ'!BF54/DAY(EOMONTH('01_入力ページ'!BF$5,0)))</x:f>
        <x:v>1245.45</x:v>
      </x:c>
      <x:c r="BG7" s="40" t="n">
        <x:f>IF('01_入力ページ'!BG48&lt;&gt;"",'01_入力ページ'!BG48,'06_PL'!BG8*'01_入力ページ'!BG54/DAY(EOMONTH('01_入力ページ'!BG$5,0)))</x:f>
        <x:v>2907.0000000000005</x:v>
      </x:c>
      <x:c r="BH7" s="40" t="n">
        <x:f>IF('01_入力ページ'!BH48&lt;&gt;"",'01_入力ページ'!BH48,'06_PL'!BH8*'01_入力ページ'!BH54/DAY(EOMONTH('01_入力ページ'!BH$5,0)))</x:f>
        <x:v>4323.45</x:v>
      </x:c>
      <x:c r="BI7" s="40" t="n">
        <x:f>IF('01_入力ページ'!BI48&lt;&gt;"",'01_入力ページ'!BI48,'06_PL'!BI8*'01_入力ページ'!BI54/DAY(EOMONTH('01_入力ページ'!BI$5,0)))</x:f>
        <x:v>4323.449999999999</x:v>
      </x:c>
      <x:c r="BJ7" s="40" t="n">
        <x:f>IF('01_入力ページ'!BJ48&lt;&gt;"",'01_入力ページ'!BJ48,'06_PL'!BJ8*'01_入力ページ'!BJ54/DAY(EOMONTH('01_入力ページ'!BJ$5,0)))</x:f>
        <x:v>1638.75</x:v>
      </x:c>
    </x:row>
    <x:row r="8">
      <x:c r="A8" s="12" t="str">
        <x:v>資産</x:v>
      </x:c>
      <x:c r="B8" s="12" t="str">
        <x:v>その他流動資産</x:v>
      </x:c>
      <x:c r="C8" s="40" t="n">
        <x:f>IF('01_入力ページ'!C49&lt;&gt;"",'01_入力ページ'!C49,0)</x:f>
        <x:v>0</x:v>
      </x:c>
      <x:c r="D8" s="40" t="n">
        <x:f>IF('01_入力ページ'!D49&lt;&gt;"",'01_入力ページ'!D49,C8)</x:f>
        <x:v>0</x:v>
      </x:c>
      <x:c r="E8" s="40" t="n">
        <x:f>IF('01_入力ページ'!E49&lt;&gt;"",'01_入力ページ'!E49,D8)</x:f>
        <x:v>0</x:v>
      </x:c>
      <x:c r="F8" s="40" t="n">
        <x:f>IF('01_入力ページ'!F49&lt;&gt;"",'01_入力ページ'!F49,E8)</x:f>
        <x:v>0</x:v>
      </x:c>
      <x:c r="G8" s="40" t="n">
        <x:f>IF('01_入力ページ'!G49&lt;&gt;"",'01_入力ページ'!G49,F8)</x:f>
        <x:v>0</x:v>
      </x:c>
      <x:c r="H8" s="40" t="n">
        <x:f>IF('01_入力ページ'!H49&lt;&gt;"",'01_入力ページ'!H49,G8)</x:f>
        <x:v>0</x:v>
      </x:c>
      <x:c r="I8" s="40" t="n">
        <x:f>IF('01_入力ページ'!I49&lt;&gt;"",'01_入力ページ'!I49,H8)</x:f>
        <x:v>0</x:v>
      </x:c>
      <x:c r="J8" s="40" t="n">
        <x:f>IF('01_入力ページ'!J49&lt;&gt;"",'01_入力ページ'!J49,I8)</x:f>
        <x:v>0</x:v>
      </x:c>
      <x:c r="K8" s="40" t="n">
        <x:f>IF('01_入力ページ'!K49&lt;&gt;"",'01_入力ページ'!K49,J8)</x:f>
        <x:v>0</x:v>
      </x:c>
      <x:c r="L8" s="40" t="n">
        <x:f>IF('01_入力ページ'!L49&lt;&gt;"",'01_入力ページ'!L49,K8)</x:f>
        <x:v>0</x:v>
      </x:c>
      <x:c r="M8" s="40" t="n">
        <x:f>IF('01_入力ページ'!M49&lt;&gt;"",'01_入力ページ'!M49,L8)</x:f>
        <x:v>0</x:v>
      </x:c>
      <x:c r="N8" s="40" t="n">
        <x:f>IF('01_入力ページ'!N49&lt;&gt;"",'01_入力ページ'!N49,M8)</x:f>
        <x:v>0</x:v>
      </x:c>
      <x:c r="O8" s="40" t="n">
        <x:f>IF('01_入力ページ'!O49&lt;&gt;"",'01_入力ページ'!O49,N8)</x:f>
        <x:v>0</x:v>
      </x:c>
      <x:c r="P8" s="40" t="n">
        <x:f>IF('01_入力ページ'!P49&lt;&gt;"",'01_入力ページ'!P49,O8)</x:f>
        <x:v>0</x:v>
      </x:c>
      <x:c r="Q8" s="40" t="n">
        <x:f>IF('01_入力ページ'!Q49&lt;&gt;"",'01_入力ページ'!Q49,P8)</x:f>
        <x:v>0</x:v>
      </x:c>
      <x:c r="R8" s="40" t="n">
        <x:f>IF('01_入力ページ'!R49&lt;&gt;"",'01_入力ページ'!R49,Q8)</x:f>
        <x:v>0</x:v>
      </x:c>
      <x:c r="S8" s="40" t="n">
        <x:f>IF('01_入力ページ'!S49&lt;&gt;"",'01_入力ページ'!S49,R8)</x:f>
        <x:v>0</x:v>
      </x:c>
      <x:c r="T8" s="40" t="n">
        <x:f>IF('01_入力ページ'!T49&lt;&gt;"",'01_入力ページ'!T49,S8)</x:f>
        <x:v>0</x:v>
      </x:c>
      <x:c r="U8" s="40" t="n">
        <x:f>IF('01_入力ページ'!U49&lt;&gt;"",'01_入力ページ'!U49,T8)</x:f>
        <x:v>0</x:v>
      </x:c>
      <x:c r="V8" s="40" t="n">
        <x:f>IF('01_入力ページ'!V49&lt;&gt;"",'01_入力ページ'!V49,U8)</x:f>
        <x:v>0</x:v>
      </x:c>
      <x:c r="W8" s="40" t="n">
        <x:f>IF('01_入力ページ'!W49&lt;&gt;"",'01_入力ページ'!W49,V8)</x:f>
        <x:v>0</x:v>
      </x:c>
      <x:c r="X8" s="40" t="n">
        <x:f>IF('01_入力ページ'!X49&lt;&gt;"",'01_入力ページ'!X49,W8)</x:f>
        <x:v>0</x:v>
      </x:c>
      <x:c r="Y8" s="40" t="n">
        <x:f>IF('01_入力ページ'!Y49&lt;&gt;"",'01_入力ページ'!Y49,X8)</x:f>
        <x:v>0</x:v>
      </x:c>
      <x:c r="Z8" s="40" t="n">
        <x:f>IF('01_入力ページ'!Z49&lt;&gt;"",'01_入力ページ'!Z49,Y8)</x:f>
        <x:v>0</x:v>
      </x:c>
      <x:c r="AA8" s="40" t="n">
        <x:f>IF('01_入力ページ'!AA49&lt;&gt;"",'01_入力ページ'!AA49,Z8)</x:f>
        <x:v>0</x:v>
      </x:c>
      <x:c r="AB8" s="40" t="n">
        <x:f>IF('01_入力ページ'!AB49&lt;&gt;"",'01_入力ページ'!AB49,AA8)</x:f>
        <x:v>0</x:v>
      </x:c>
      <x:c r="AC8" s="40" t="n">
        <x:f>IF('01_入力ページ'!AC49&lt;&gt;"",'01_入力ページ'!AC49,AB8)</x:f>
        <x:v>0</x:v>
      </x:c>
      <x:c r="AD8" s="40" t="n">
        <x:f>IF('01_入力ページ'!AD49&lt;&gt;"",'01_入力ページ'!AD49,AC8)</x:f>
        <x:v>0</x:v>
      </x:c>
      <x:c r="AE8" s="40" t="n">
        <x:f>IF('01_入力ページ'!AE49&lt;&gt;"",'01_入力ページ'!AE49,AD8)</x:f>
        <x:v>0</x:v>
      </x:c>
      <x:c r="AF8" s="40" t="n">
        <x:f>IF('01_入力ページ'!AF49&lt;&gt;"",'01_入力ページ'!AF49,AE8)</x:f>
        <x:v>0</x:v>
      </x:c>
      <x:c r="AG8" s="40" t="n">
        <x:f>IF('01_入力ページ'!AG49&lt;&gt;"",'01_入力ページ'!AG49,AF8)</x:f>
        <x:v>0</x:v>
      </x:c>
      <x:c r="AH8" s="40" t="n">
        <x:f>IF('01_入力ページ'!AH49&lt;&gt;"",'01_入力ページ'!AH49,AG8)</x:f>
        <x:v>0</x:v>
      </x:c>
      <x:c r="AI8" s="40" t="n">
        <x:f>IF('01_入力ページ'!AI49&lt;&gt;"",'01_入力ページ'!AI49,AH8)</x:f>
        <x:v>0</x:v>
      </x:c>
      <x:c r="AJ8" s="40" t="n">
        <x:f>IF('01_入力ページ'!AJ49&lt;&gt;"",'01_入力ページ'!AJ49,AI8)</x:f>
        <x:v>0</x:v>
      </x:c>
      <x:c r="AK8" s="40" t="n">
        <x:f>IF('01_入力ページ'!AK49&lt;&gt;"",'01_入力ページ'!AK49,AJ8)</x:f>
        <x:v>0</x:v>
      </x:c>
      <x:c r="AL8" s="40" t="n">
        <x:f>IF('01_入力ページ'!AL49&lt;&gt;"",'01_入力ページ'!AL49,AK8)</x:f>
        <x:v>0</x:v>
      </x:c>
      <x:c r="AM8" s="40" t="n">
        <x:f>IF('01_入力ページ'!AM49&lt;&gt;"",'01_入力ページ'!AM49,AL8)</x:f>
        <x:v>0</x:v>
      </x:c>
      <x:c r="AN8" s="40" t="n">
        <x:f>IF('01_入力ページ'!AN49&lt;&gt;"",'01_入力ページ'!AN49,AM8)</x:f>
        <x:v>0</x:v>
      </x:c>
      <x:c r="AO8" s="40" t="n">
        <x:f>IF('01_入力ページ'!AO49&lt;&gt;"",'01_入力ページ'!AO49,AN8)</x:f>
        <x:v>0</x:v>
      </x:c>
      <x:c r="AP8" s="40" t="n">
        <x:f>IF('01_入力ページ'!AP49&lt;&gt;"",'01_入力ページ'!AP49,AO8)</x:f>
        <x:v>0</x:v>
      </x:c>
      <x:c r="AQ8" s="40" t="n">
        <x:f>IF('01_入力ページ'!AQ49&lt;&gt;"",'01_入力ページ'!AQ49,AP8)</x:f>
        <x:v>0</x:v>
      </x:c>
      <x:c r="AR8" s="40" t="n">
        <x:f>IF('01_入力ページ'!AR49&lt;&gt;"",'01_入力ページ'!AR49,AQ8)</x:f>
        <x:v>0</x:v>
      </x:c>
      <x:c r="AS8" s="40" t="n">
        <x:f>IF('01_入力ページ'!AS49&lt;&gt;"",'01_入力ページ'!AS49,AR8)</x:f>
        <x:v>0</x:v>
      </x:c>
      <x:c r="AT8" s="40" t="n">
        <x:f>IF('01_入力ページ'!AT49&lt;&gt;"",'01_入力ページ'!AT49,AS8)</x:f>
        <x:v>0</x:v>
      </x:c>
      <x:c r="AU8" s="40" t="n">
        <x:f>IF('01_入力ページ'!AU49&lt;&gt;"",'01_入力ページ'!AU49,AT8)</x:f>
        <x:v>0</x:v>
      </x:c>
      <x:c r="AV8" s="40" t="n">
        <x:f>IF('01_入力ページ'!AV49&lt;&gt;"",'01_入力ページ'!AV49,AU8)</x:f>
        <x:v>0</x:v>
      </x:c>
      <x:c r="AW8" s="40" t="n">
        <x:f>IF('01_入力ページ'!AW49&lt;&gt;"",'01_入力ページ'!AW49,AV8)</x:f>
        <x:v>0</x:v>
      </x:c>
      <x:c r="AX8" s="40" t="n">
        <x:f>IF('01_入力ページ'!AX49&lt;&gt;"",'01_入力ページ'!AX49,AW8)</x:f>
        <x:v>0</x:v>
      </x:c>
      <x:c r="AY8" s="40" t="n">
        <x:f>IF('01_入力ページ'!AY49&lt;&gt;"",'01_入力ページ'!AY49,AX8)</x:f>
        <x:v>0</x:v>
      </x:c>
      <x:c r="AZ8" s="40" t="n">
        <x:f>IF('01_入力ページ'!AZ49&lt;&gt;"",'01_入力ページ'!AZ49,AY8)</x:f>
        <x:v>0</x:v>
      </x:c>
      <x:c r="BA8" s="40" t="n">
        <x:f>IF('01_入力ページ'!BA49&lt;&gt;"",'01_入力ページ'!BA49,AZ8)</x:f>
        <x:v>0</x:v>
      </x:c>
      <x:c r="BB8" s="40" t="n">
        <x:f>IF('01_入力ページ'!BB49&lt;&gt;"",'01_入力ページ'!BB49,BA8)</x:f>
        <x:v>0</x:v>
      </x:c>
      <x:c r="BC8" s="40" t="n">
        <x:f>IF('01_入力ページ'!BC49&lt;&gt;"",'01_入力ページ'!BC49,BB8)</x:f>
        <x:v>0</x:v>
      </x:c>
      <x:c r="BD8" s="40" t="n">
        <x:f>IF('01_入力ページ'!BD49&lt;&gt;"",'01_入力ページ'!BD49,BC8)</x:f>
        <x:v>0</x:v>
      </x:c>
      <x:c r="BE8" s="40" t="n">
        <x:f>IF('01_入力ページ'!BE49&lt;&gt;"",'01_入力ページ'!BE49,BD8)</x:f>
        <x:v>0</x:v>
      </x:c>
      <x:c r="BF8" s="40" t="n">
        <x:f>IF('01_入力ページ'!BF49&lt;&gt;"",'01_入力ページ'!BF49,BE8)</x:f>
        <x:v>0</x:v>
      </x:c>
      <x:c r="BG8" s="40" t="n">
        <x:f>IF('01_入力ページ'!BG49&lt;&gt;"",'01_入力ページ'!BG49,BF8)</x:f>
        <x:v>0</x:v>
      </x:c>
      <x:c r="BH8" s="40" t="n">
        <x:f>IF('01_入力ページ'!BH49&lt;&gt;"",'01_入力ページ'!BH49,BG8)</x:f>
        <x:v>0</x:v>
      </x:c>
      <x:c r="BI8" s="40" t="n">
        <x:f>IF('01_入力ページ'!BI49&lt;&gt;"",'01_入力ページ'!BI49,BH8)</x:f>
        <x:v>0</x:v>
      </x:c>
      <x:c r="BJ8" s="40" t="n">
        <x:f>IF('01_入力ページ'!BJ49&lt;&gt;"",'01_入力ページ'!BJ49,BI8)</x:f>
        <x:v>0</x:v>
      </x:c>
    </x:row>
    <x:row r="9">
      <x:c r="A9" s="12" t="str">
        <x:v>資産</x:v>
      </x:c>
      <x:c r="B9" s="12" t="str">
        <x:v>有形固定資産</x:v>
      </x:c>
      <x:c r="C9" s="40" t="n">
        <x:f>IF('01_入力ページ'!C50&lt;&gt;"",'01_入力ページ'!C50,70000+'01_入力ページ'!C56-'06_PL'!C30)</x:f>
        <x:v>69500</x:v>
      </x:c>
      <x:c r="D9" s="40" t="n">
        <x:f>IF('01_入力ページ'!D50&lt;&gt;"",'01_入力ページ'!D50,C9+'01_入力ページ'!D56-'06_PL'!D30)</x:f>
        <x:v>69000</x:v>
      </x:c>
      <x:c r="E9" s="40" t="n">
        <x:f>IF('01_入力ページ'!E50&lt;&gt;"",'01_入力ページ'!E50,D9+'01_入力ページ'!E56-'06_PL'!E30)</x:f>
        <x:v>68500</x:v>
      </x:c>
      <x:c r="F9" s="40" t="n">
        <x:f>IF('01_入力ページ'!F50&lt;&gt;"",'01_入力ページ'!F50,E9+'01_入力ページ'!F56-'06_PL'!F30)</x:f>
        <x:v>68000</x:v>
      </x:c>
      <x:c r="G9" s="40" t="n">
        <x:f>IF('01_入力ページ'!G50&lt;&gt;"",'01_入力ページ'!G50,F9+'01_入力ページ'!G56-'06_PL'!G30)</x:f>
        <x:v>67500</x:v>
      </x:c>
      <x:c r="H9" s="40" t="n">
        <x:f>IF('01_入力ページ'!H50&lt;&gt;"",'01_入力ページ'!H50,G9+'01_入力ページ'!H56-'06_PL'!H30)</x:f>
        <x:v>67000</x:v>
      </x:c>
      <x:c r="I9" s="40" t="n">
        <x:f>IF('01_入力ページ'!I50&lt;&gt;"",'01_入力ページ'!I50,H9+'01_入力ページ'!I56-'06_PL'!I30)</x:f>
        <x:v>66500</x:v>
      </x:c>
      <x:c r="J9" s="40" t="n">
        <x:f>IF('01_入力ページ'!J50&lt;&gt;"",'01_入力ページ'!J50,I9+'01_入力ページ'!J56-'06_PL'!J30)</x:f>
        <x:v>66000</x:v>
      </x:c>
      <x:c r="K9" s="40" t="n">
        <x:f>IF('01_入力ページ'!K50&lt;&gt;"",'01_入力ページ'!K50,J9+'01_入力ページ'!K56-'06_PL'!K30)</x:f>
        <x:v>65500</x:v>
      </x:c>
      <x:c r="L9" s="40" t="n">
        <x:f>IF('01_入力ページ'!L50&lt;&gt;"",'01_入力ページ'!L50,K9+'01_入力ページ'!L56-'06_PL'!L30)</x:f>
        <x:v>65000</x:v>
      </x:c>
      <x:c r="M9" s="40" t="n">
        <x:f>IF('01_入力ページ'!M50&lt;&gt;"",'01_入力ページ'!M50,L9+'01_入力ページ'!M56-'06_PL'!M30)</x:f>
        <x:v>64500</x:v>
      </x:c>
      <x:c r="N9" s="40" t="n">
        <x:f>IF('01_入力ページ'!N50&lt;&gt;"",'01_入力ページ'!N50,M9+'01_入力ページ'!N56-'06_PL'!N30)</x:f>
        <x:v>64000</x:v>
      </x:c>
      <x:c r="O9" s="40" t="n">
        <x:f>IF('01_入力ページ'!O50&lt;&gt;"",'01_入力ページ'!O50,N9+'01_入力ページ'!O56-'06_PL'!O30)</x:f>
        <x:v>63500</x:v>
      </x:c>
      <x:c r="P9" s="40" t="n">
        <x:f>IF('01_入力ページ'!P50&lt;&gt;"",'01_入力ページ'!P50,O9+'01_入力ページ'!P56-'06_PL'!P30)</x:f>
        <x:v>63000</x:v>
      </x:c>
      <x:c r="Q9" s="40" t="n">
        <x:f>IF('01_入力ページ'!Q50&lt;&gt;"",'01_入力ページ'!Q50,P9+'01_入力ページ'!Q56-'06_PL'!Q30)</x:f>
        <x:v>62500</x:v>
      </x:c>
      <x:c r="R9" s="40" t="n">
        <x:f>IF('01_入力ページ'!R50&lt;&gt;"",'01_入力ページ'!R50,Q9+'01_入力ページ'!R56-'06_PL'!R30)</x:f>
        <x:v>62000</x:v>
      </x:c>
      <x:c r="S9" s="40" t="n">
        <x:f>IF('01_入力ページ'!S50&lt;&gt;"",'01_入力ページ'!S50,R9+'01_入力ページ'!S56-'06_PL'!S30)</x:f>
        <x:v>61500</x:v>
      </x:c>
      <x:c r="T9" s="40" t="n">
        <x:f>IF('01_入力ページ'!T50&lt;&gt;"",'01_入力ページ'!T50,S9+'01_入力ページ'!T56-'06_PL'!T30)</x:f>
        <x:v>61000</x:v>
      </x:c>
      <x:c r="U9" s="40" t="n">
        <x:f>IF('01_入力ページ'!U50&lt;&gt;"",'01_入力ページ'!U50,T9+'01_入力ページ'!U56-'06_PL'!U30)</x:f>
        <x:v>60500</x:v>
      </x:c>
      <x:c r="V9" s="40" t="n">
        <x:f>IF('01_入力ページ'!V50&lt;&gt;"",'01_入力ページ'!V50,U9+'01_入力ページ'!V56-'06_PL'!V30)</x:f>
        <x:v>60000</x:v>
      </x:c>
      <x:c r="W9" s="40" t="n">
        <x:f>IF('01_入力ページ'!W50&lt;&gt;"",'01_入力ページ'!W50,V9+'01_入力ページ'!W56-'06_PL'!W30)</x:f>
        <x:v>59500</x:v>
      </x:c>
      <x:c r="X9" s="40" t="n">
        <x:f>IF('01_入力ページ'!X50&lt;&gt;"",'01_入力ページ'!X50,W9+'01_入力ページ'!X56-'06_PL'!X30)</x:f>
        <x:v>59000</x:v>
      </x:c>
      <x:c r="Y9" s="40" t="n">
        <x:f>IF('01_入力ページ'!Y50&lt;&gt;"",'01_入力ページ'!Y50,X9+'01_入力ページ'!Y56-'06_PL'!Y30)</x:f>
        <x:v>58500</x:v>
      </x:c>
      <x:c r="Z9" s="40" t="n">
        <x:f>IF('01_入力ページ'!Z50&lt;&gt;"",'01_入力ページ'!Z50,Y9+'01_入力ページ'!Z56-'06_PL'!Z30)</x:f>
        <x:v>58000</x:v>
      </x:c>
      <x:c r="AA9" s="40" t="n">
        <x:f>IF('01_入力ページ'!AA50&lt;&gt;"",'01_入力ページ'!AA50,Z9+'01_入力ページ'!AA56-'06_PL'!AA30)</x:f>
        <x:v>57500</x:v>
      </x:c>
      <x:c r="AB9" s="40" t="n">
        <x:f>IF('01_入力ページ'!AB50&lt;&gt;"",'01_入力ページ'!AB50,AA9+'01_入力ページ'!AB56-'06_PL'!AB30)</x:f>
        <x:v>57000</x:v>
      </x:c>
      <x:c r="AC9" s="40" t="n">
        <x:f>IF('01_入力ページ'!AC50&lt;&gt;"",'01_入力ページ'!AC50,AB9+'01_入力ページ'!AC56-'06_PL'!AC30)</x:f>
        <x:v>56500</x:v>
      </x:c>
      <x:c r="AD9" s="40" t="n">
        <x:f>IF('01_入力ページ'!AD50&lt;&gt;"",'01_入力ページ'!AD50,AC9+'01_入力ページ'!AD56-'06_PL'!AD30)</x:f>
        <x:v>56000</x:v>
      </x:c>
      <x:c r="AE9" s="40" t="n">
        <x:f>IF('01_入力ページ'!AE50&lt;&gt;"",'01_入力ページ'!AE50,AD9+'01_入力ページ'!AE56-'06_PL'!AE30)</x:f>
        <x:v>55500</x:v>
      </x:c>
      <x:c r="AF9" s="40" t="n">
        <x:f>IF('01_入力ページ'!AF50&lt;&gt;"",'01_入力ページ'!AF50,AE9+'01_入力ページ'!AF56-'06_PL'!AF30)</x:f>
        <x:v>55000</x:v>
      </x:c>
      <x:c r="AG9" s="40" t="n">
        <x:f>IF('01_入力ページ'!AG50&lt;&gt;"",'01_入力ページ'!AG50,AF9+'01_入力ページ'!AG56-'06_PL'!AG30)</x:f>
        <x:v>54500</x:v>
      </x:c>
      <x:c r="AH9" s="40" t="n">
        <x:f>IF('01_入力ページ'!AH50&lt;&gt;"",'01_入力ページ'!AH50,AG9+'01_入力ページ'!AH56-'06_PL'!AH30)</x:f>
        <x:v>54000</x:v>
      </x:c>
      <x:c r="AI9" s="40" t="n">
        <x:f>IF('01_入力ページ'!AI50&lt;&gt;"",'01_入力ページ'!AI50,AH9+'01_入力ページ'!AI56-'06_PL'!AI30)</x:f>
        <x:v>53500</x:v>
      </x:c>
      <x:c r="AJ9" s="40" t="n">
        <x:f>IF('01_入力ページ'!AJ50&lt;&gt;"",'01_入力ページ'!AJ50,AI9+'01_入力ページ'!AJ56-'06_PL'!AJ30)</x:f>
        <x:v>53000</x:v>
      </x:c>
      <x:c r="AK9" s="40" t="n">
        <x:f>IF('01_入力ページ'!AK50&lt;&gt;"",'01_入力ページ'!AK50,AJ9+'01_入力ページ'!AK56-'06_PL'!AK30)</x:f>
        <x:v>52500</x:v>
      </x:c>
      <x:c r="AL9" s="40" t="n">
        <x:f>IF('01_入力ページ'!AL50&lt;&gt;"",'01_入力ページ'!AL50,AK9+'01_入力ページ'!AL56-'06_PL'!AL30)</x:f>
        <x:v>52000</x:v>
      </x:c>
      <x:c r="AM9" s="40" t="n">
        <x:f>IF('01_入力ページ'!AM50&lt;&gt;"",'01_入力ページ'!AM50,AL9+'01_入力ページ'!AM56-'06_PL'!AM30)</x:f>
        <x:v>51500</x:v>
      </x:c>
      <x:c r="AN9" s="40" t="n">
        <x:f>IF('01_入力ページ'!AN50&lt;&gt;"",'01_入力ページ'!AN50,AM9+'01_入力ページ'!AN56-'06_PL'!AN30)</x:f>
        <x:v>51000</x:v>
      </x:c>
      <x:c r="AO9" s="40" t="n">
        <x:f>IF('01_入力ページ'!AO50&lt;&gt;"",'01_入力ページ'!AO50,AN9+'01_入力ページ'!AO56-'06_PL'!AO30)</x:f>
        <x:v>50500</x:v>
      </x:c>
      <x:c r="AP9" s="40" t="n">
        <x:f>IF('01_入力ページ'!AP50&lt;&gt;"",'01_入力ページ'!AP50,AO9+'01_入力ページ'!AP56-'06_PL'!AP30)</x:f>
        <x:v>50000</x:v>
      </x:c>
      <x:c r="AQ9" s="40" t="n">
        <x:f>IF('01_入力ページ'!AQ50&lt;&gt;"",'01_入力ページ'!AQ50,AP9+'01_入力ページ'!AQ56-'06_PL'!AQ30)</x:f>
        <x:v>49500</x:v>
      </x:c>
      <x:c r="AR9" s="40" t="n">
        <x:f>IF('01_入力ページ'!AR50&lt;&gt;"",'01_入力ページ'!AR50,AQ9+'01_入力ページ'!AR56-'06_PL'!AR30)</x:f>
        <x:v>49000</x:v>
      </x:c>
      <x:c r="AS9" s="40" t="n">
        <x:f>IF('01_入力ページ'!AS50&lt;&gt;"",'01_入力ページ'!AS50,AR9+'01_入力ページ'!AS56-'06_PL'!AS30)</x:f>
        <x:v>48500</x:v>
      </x:c>
      <x:c r="AT9" s="40" t="n">
        <x:f>IF('01_入力ページ'!AT50&lt;&gt;"",'01_入力ページ'!AT50,AS9+'01_入力ページ'!AT56-'06_PL'!AT30)</x:f>
        <x:v>48000</x:v>
      </x:c>
      <x:c r="AU9" s="40" t="n">
        <x:f>IF('01_入力ページ'!AU50&lt;&gt;"",'01_入力ページ'!AU50,AT9+'01_入力ページ'!AU56-'06_PL'!AU30)</x:f>
        <x:v>47500</x:v>
      </x:c>
      <x:c r="AV9" s="40" t="n">
        <x:f>IF('01_入力ページ'!AV50&lt;&gt;"",'01_入力ページ'!AV50,AU9+'01_入力ページ'!AV56-'06_PL'!AV30)</x:f>
        <x:v>47000</x:v>
      </x:c>
      <x:c r="AW9" s="40" t="n">
        <x:f>IF('01_入力ページ'!AW50&lt;&gt;"",'01_入力ページ'!AW50,AV9+'01_入力ページ'!AW56-'06_PL'!AW30)</x:f>
        <x:v>46500</x:v>
      </x:c>
      <x:c r="AX9" s="40" t="n">
        <x:f>IF('01_入力ページ'!AX50&lt;&gt;"",'01_入力ページ'!AX50,AW9+'01_入力ページ'!AX56-'06_PL'!AX30)</x:f>
        <x:v>46000</x:v>
      </x:c>
      <x:c r="AY9" s="40" t="n">
        <x:f>IF('01_入力ページ'!AY50&lt;&gt;"",'01_入力ページ'!AY50,AX9+'01_入力ページ'!AY56-'06_PL'!AY30)</x:f>
        <x:v>45500</x:v>
      </x:c>
      <x:c r="AZ9" s="40" t="n">
        <x:f>IF('01_入力ページ'!AZ50&lt;&gt;"",'01_入力ページ'!AZ50,AY9+'01_入力ページ'!AZ56-'06_PL'!AZ30)</x:f>
        <x:v>45000</x:v>
      </x:c>
      <x:c r="BA9" s="40" t="n">
        <x:f>IF('01_入力ページ'!BA50&lt;&gt;"",'01_入力ページ'!BA50,AZ9+'01_入力ページ'!BA56-'06_PL'!BA30)</x:f>
        <x:v>44500</x:v>
      </x:c>
      <x:c r="BB9" s="40" t="n">
        <x:f>IF('01_入力ページ'!BB50&lt;&gt;"",'01_入力ページ'!BB50,BA9+'01_入力ページ'!BB56-'06_PL'!BB30)</x:f>
        <x:v>44000</x:v>
      </x:c>
      <x:c r="BC9" s="40" t="n">
        <x:f>IF('01_入力ページ'!BC50&lt;&gt;"",'01_入力ページ'!BC50,BB9+'01_入力ページ'!BC56-'06_PL'!BC30)</x:f>
        <x:v>43500</x:v>
      </x:c>
      <x:c r="BD9" s="40" t="n">
        <x:f>IF('01_入力ページ'!BD50&lt;&gt;"",'01_入力ページ'!BD50,BC9+'01_入力ページ'!BD56-'06_PL'!BD30)</x:f>
        <x:v>43000</x:v>
      </x:c>
      <x:c r="BE9" s="40" t="n">
        <x:f>IF('01_入力ページ'!BE50&lt;&gt;"",'01_入力ページ'!BE50,BD9+'01_入力ページ'!BE56-'06_PL'!BE30)</x:f>
        <x:v>42500</x:v>
      </x:c>
      <x:c r="BF9" s="40" t="n">
        <x:f>IF('01_入力ページ'!BF50&lt;&gt;"",'01_入力ページ'!BF50,BE9+'01_入力ページ'!BF56-'06_PL'!BF30)</x:f>
        <x:v>42000</x:v>
      </x:c>
      <x:c r="BG9" s="40" t="n">
        <x:f>IF('01_入力ページ'!BG50&lt;&gt;"",'01_入力ページ'!BG50,BF9+'01_入力ページ'!BG56-'06_PL'!BG30)</x:f>
        <x:v>41500</x:v>
      </x:c>
      <x:c r="BH9" s="40" t="n">
        <x:f>IF('01_入力ページ'!BH50&lt;&gt;"",'01_入力ページ'!BH50,BG9+'01_入力ページ'!BH56-'06_PL'!BH30)</x:f>
        <x:v>41000</x:v>
      </x:c>
      <x:c r="BI9" s="40" t="n">
        <x:f>IF('01_入力ページ'!BI50&lt;&gt;"",'01_入力ページ'!BI50,BH9+'01_入力ページ'!BI56-'06_PL'!BI30)</x:f>
        <x:v>40500</x:v>
      </x:c>
      <x:c r="BJ9" s="40" t="n">
        <x:f>IF('01_入力ページ'!BJ50&lt;&gt;"",'01_入力ページ'!BJ50,BI9+'01_入力ページ'!BJ56-'06_PL'!BJ30)</x:f>
        <x:v>40000</x:v>
      </x:c>
    </x:row>
    <x:row r="10">
      <x:c r="A10" s="12" t="str">
        <x:v>資産</x:v>
      </x:c>
      <x:c r="B10" s="12" t="str">
        <x:v>資産合計</x:v>
      </x:c>
      <x:c r="C10" s="40" t="n">
        <x:f>SUM(C6:C9)</x:f>
        <x:v>98132.59016666666</x:v>
      </x:c>
      <x:c r="D10" s="40" t="n">
        <x:f>SUM(D6:D9)</x:f>
        <x:v>97572.46562930108</x:v>
      </x:c>
      <x:c r="E10" s="40" t="n">
        <x:f>SUM(E6:E9)</x:f>
        <x:v>97027.688675</x:v>
      </x:c>
      <x:c r="F10" s="40" t="n">
        <x:f>SUM(F6:F9)</x:f>
        <x:v>99146.45726263442</x:v>
      </x:c>
      <x:c r="G10" s="40" t="n">
        <x:f>SUM(G6:G9)</x:f>
        <x:v>99898.69822930108</x:v>
      </x:c>
      <x:c r="H10" s="40" t="n">
        <x:f>SUM(H6:H9)</x:f>
        <x:v>97974.877525</x:v>
      </x:c>
      <x:c r="I10" s="40" t="n">
        <x:f>SUM(I6:I9)</x:f>
        <x:v>97414.75298763442</x:v>
      </x:c>
      <x:c r="J10" s="40" t="n">
        <x:f>SUM(J6:J9)</x:f>
        <x:v>96869.97603333334</x:v>
      </x:c>
      <x:c r="K10" s="40" t="n">
        <x:f>SUM(K6:K9)</x:f>
        <x:v>98988.74462096774</x:v>
      </x:c>
      <x:c r="L10" s="40" t="n">
        <x:f>SUM(L6:L9)</x:f>
        <x:v>102002.4078626344</x:v>
      </x:c>
      <x:c r="M10" s="40" t="n">
        <x:f>SUM(M6:M9)</x:f>
        <x:v>103681.54304404762</x:v>
      </x:c>
      <x:c r="N10" s="40" t="n">
        <x:f>SUM(N6:N9)</x:f>
        <x:v>101249.88817096775</x:v>
      </x:c>
      <x:c r="O10" s="40" t="n">
        <x:f>SUM(O6:O9)</x:f>
        <x:v>100350.20071666667</x:v>
      </x:c>
      <x:c r="P10" s="40" t="n">
        <x:f>SUM(P6:P9)</x:f>
        <x:v>99790.07617930108</x:v>
      </x:c>
      <x:c r="Q10" s="40" t="n">
        <x:f>SUM(Q6:Q9)</x:f>
        <x:v>99245.299225</x:v>
      </x:c>
      <x:c r="R10" s="40" t="n">
        <x:f>SUM(R6:R9)</x:f>
        <x:v>101364.06781263441</x:v>
      </x:c>
      <x:c r="S10" s="40" t="n">
        <x:f>SUM(S6:S9)</x:f>
        <x:v>102116.30877930108</x:v>
      </x:c>
      <x:c r="T10" s="40" t="n">
        <x:f>SUM(T6:T9)</x:f>
        <x:v>100192.488075</x:v>
      </x:c>
      <x:c r="U10" s="40" t="n">
        <x:f>SUM(U6:U9)</x:f>
        <x:v>99632.3635376344</x:v>
      </x:c>
      <x:c r="V10" s="40" t="n">
        <x:f>SUM(V6:V9)</x:f>
        <x:v>99087.58658333334</x:v>
      </x:c>
      <x:c r="W10" s="40" t="n">
        <x:f>SUM(W6:W9)</x:f>
        <x:v>101206.35517096776</x:v>
      </x:c>
      <x:c r="X10" s="40" t="n">
        <x:f>SUM(X6:X9)</x:f>
        <x:v>104220.01841263441</x:v>
      </x:c>
      <x:c r="Y10" s="40" t="n">
        <x:f>SUM(Y6:Y9)</x:f>
        <x:v>105973.63069367816</x:v>
      </x:c>
      <x:c r="Z10" s="40" t="n">
        <x:f>SUM(Z6:Z9)</x:f>
        <x:v>103556.31079596774</x:v>
      </x:c>
      <x:c r="AA10" s="40" t="n">
        <x:f>SUM(AA6:AA9)</x:f>
        <x:v>102656.62334166667</x:v>
      </x:c>
      <x:c r="AB10" s="40" t="n">
        <x:f>SUM(AB6:AB9)</x:f>
        <x:v>102096.49880430108</x:v>
      </x:c>
      <x:c r="AC10" s="40" t="n">
        <x:f>SUM(AC6:AC9)</x:f>
        <x:v>101551.72185</x:v>
      </x:c>
      <x:c r="AD10" s="40" t="n">
        <x:f>SUM(AD6:AD9)</x:f>
        <x:v>103670.4904376344</x:v>
      </x:c>
      <x:c r="AE10" s="40" t="n">
        <x:f>SUM(AE6:AE9)</x:f>
        <x:v>104422.73140430107</x:v>
      </x:c>
      <x:c r="AF10" s="40" t="n">
        <x:f>SUM(AF6:AF9)</x:f>
        <x:v>102498.91070000001</x:v>
      </x:c>
      <x:c r="AG10" s="40" t="n">
        <x:f>SUM(AG6:AG9)</x:f>
        <x:v>101938.78616263441</x:v>
      </x:c>
      <x:c r="AH10" s="40" t="n">
        <x:f>SUM(AH6:AH9)</x:f>
        <x:v>101394.00920833333</x:v>
      </x:c>
      <x:c r="AI10" s="40" t="n">
        <x:f>SUM(AI6:AI9)</x:f>
        <x:v>103512.77779596775</x:v>
      </x:c>
      <x:c r="AJ10" s="40" t="n">
        <x:f>SUM(AJ6:AJ9)</x:f>
        <x:v>106526.44103763442</x:v>
      </x:c>
      <x:c r="AK10" s="40" t="n">
        <x:f>SUM(AK6:AK9)</x:f>
        <x:v>108205.57621904762</x:v>
      </x:c>
      <x:c r="AL10" s="40" t="n">
        <x:f>SUM(AL6:AL9)</x:f>
        <x:v>105773.92134596774</x:v>
      </x:c>
      <x:c r="AM10" s="40" t="n">
        <x:f>SUM(AM6:AM9)</x:f>
        <x:v>104874.23389166666</x:v>
      </x:c>
      <x:c r="AN10" s="40" t="n">
        <x:f>SUM(AN6:AN9)</x:f>
        <x:v>104314.10935430108</x:v>
      </x:c>
      <x:c r="AO10" s="40" t="n">
        <x:f>SUM(AO6:AO9)</x:f>
        <x:v>103769.33240000001</x:v>
      </x:c>
      <x:c r="AP10" s="40" t="n">
        <x:f>SUM(AP6:AP9)</x:f>
        <x:v>105888.10098763442</x:v>
      </x:c>
      <x:c r="AQ10" s="40" t="n">
        <x:f>SUM(AQ6:AQ9)</x:f>
        <x:v>106640.34195430108</x:v>
      </x:c>
      <x:c r="AR10" s="40" t="n">
        <x:f>SUM(AR6:AR9)</x:f>
        <x:v>104716.52125</x:v>
      </x:c>
      <x:c r="AS10" s="40" t="n">
        <x:f>SUM(AS6:AS9)</x:f>
        <x:v>104156.39671263442</x:v>
      </x:c>
      <x:c r="AT10" s="40" t="n">
        <x:f>SUM(AT6:AT9)</x:f>
        <x:v>103611.61975833334</x:v>
      </x:c>
      <x:c r="AU10" s="40" t="n">
        <x:f>SUM(AU6:AU9)</x:f>
        <x:v>105730.38834596775</x:v>
      </x:c>
      <x:c r="AV10" s="40" t="n">
        <x:f>SUM(AV6:AV9)</x:f>
        <x:v>108744.05158763441</x:v>
      </x:c>
      <x:c r="AW10" s="40" t="n">
        <x:f>SUM(AW6:AW9)</x:f>
        <x:v>110423.18676904762</x:v>
      </x:c>
      <x:c r="AX10" s="40" t="n">
        <x:f>SUM(AX6:AX9)</x:f>
        <x:v>107991.53189596775</x:v>
      </x:c>
      <x:c r="AY10" s="40" t="n">
        <x:f>SUM(AY6:AY9)</x:f>
        <x:v>107091.84444166668</x:v>
      </x:c>
      <x:c r="AZ10" s="40" t="n">
        <x:f>SUM(AZ6:AZ9)</x:f>
        <x:v>106531.71990430108</x:v>
      </x:c>
      <x:c r="BA10" s="40" t="n">
        <x:f>SUM(BA6:BA9)</x:f>
        <x:v>105986.94295</x:v>
      </x:c>
      <x:c r="BB10" s="40" t="n">
        <x:f>SUM(BB6:BB9)</x:f>
        <x:v>108105.71153763442</x:v>
      </x:c>
      <x:c r="BC10" s="40" t="n">
        <x:f>SUM(BC6:BC9)</x:f>
        <x:v>108857.95250430108</x:v>
      </x:c>
      <x:c r="BD10" s="40" t="n">
        <x:f>SUM(BD6:BD9)</x:f>
        <x:v>106934.1318</x:v>
      </x:c>
      <x:c r="BE10" s="40" t="n">
        <x:f>SUM(BE6:BE9)</x:f>
        <x:v>106374.0072626344</x:v>
      </x:c>
      <x:c r="BF10" s="40" t="n">
        <x:f>SUM(BF6:BF9)</x:f>
        <x:v>105829.23030833334</x:v>
      </x:c>
      <x:c r="BG10" s="40" t="n">
        <x:f>SUM(BG6:BG9)</x:f>
        <x:v>107947.99889596776</x:v>
      </x:c>
      <x:c r="BH10" s="40" t="n">
        <x:f>SUM(BH6:BH9)</x:f>
        <x:v>110961.66213763441</x:v>
      </x:c>
      <x:c r="BI10" s="40" t="n">
        <x:f>SUM(BI6:BI9)</x:f>
        <x:v>112640.79731904762</x:v>
      </x:c>
      <x:c r="BJ10" s="40" t="n">
        <x:f>SUM(BJ6:BJ9)</x:f>
        <x:v>110209.14244596774</x:v>
      </x:c>
    </x:row>
    <x:row r="11">
      <x:c r="A11" s="12" t="str">
        <x:v>負債</x:v>
      </x:c>
      <x:c r="B11" s="12" t="str">
        <x:v>買掛金・未払金</x:v>
      </x:c>
      <x:c r="C11" s="40" t="n">
        <x:f>IF('01_入力ページ'!C51&lt;&gt;"",'01_入力ページ'!C51,('06_PL'!C15+'06_PL'!C18+'06_PL'!C24+'06_PL'!C28)*'01_入力ページ'!C55/DAY(EOMONTH('01_入力ページ'!C$5,0)))</x:f>
        <x:v>2429.88325</x:v>
      </x:c>
      <x:c r="D11" s="40" t="n">
        <x:f>IF('01_入力ページ'!D51&lt;&gt;"",'01_入力ページ'!D51,('06_PL'!D15+'06_PL'!D18+'06_PL'!D24+'06_PL'!D28)*'01_入力ページ'!D55/DAY(EOMONTH('01_入力ページ'!D$5,0)))</x:f>
        <x:v>2417.367120967742</x:v>
      </x:c>
      <x:c r="E11" s="40" t="n">
        <x:f>IF('01_入力ページ'!E51&lt;&gt;"",'01_入力ページ'!E51,('06_PL'!E15+'06_PL'!E18+'06_PL'!E24+'06_PL'!E28)*'01_入力ページ'!E55/DAY(EOMONTH('01_入力ページ'!E$5,0)))</x:f>
        <x:v>2429.88325</x:v>
      </x:c>
      <x:c r="F11" s="40" t="n">
        <x:f>IF('01_入力ページ'!F51&lt;&gt;"",'01_入力ページ'!F51,('06_PL'!F15+'06_PL'!F18+'06_PL'!F24+'06_PL'!F28)*'01_入力ページ'!F55/DAY(EOMONTH('01_入力ページ'!F$5,0)))</x:f>
        <x:v>3796.410870967742</x:v>
      </x:c>
      <x:c r="G11" s="40" t="n">
        <x:f>IF('01_入力ページ'!G51&lt;&gt;"",'01_入力ページ'!G51,('06_PL'!G15+'06_PL'!G18+'06_PL'!G24+'06_PL'!G28)*'01_入力ページ'!G55/DAY(EOMONTH('01_入力ページ'!G$5,0)))</x:f>
        <x:v>3796.410870967742</x:v>
      </x:c>
      <x:c r="H11" s="40" t="n">
        <x:f>IF('01_入力ページ'!H51&lt;&gt;"",'01_入力ページ'!H51,('06_PL'!H15+'06_PL'!H18+'06_PL'!H24+'06_PL'!H28)*'01_入力ページ'!H55/DAY(EOMONTH('01_入力ページ'!H$5,0)))</x:f>
        <x:v>2429.88325</x:v>
      </x:c>
      <x:c r="I11" s="40" t="n">
        <x:f>IF('01_入力ページ'!I51&lt;&gt;"",'01_入力ページ'!I51,('06_PL'!I15+'06_PL'!I18+'06_PL'!I24+'06_PL'!I28)*'01_入力ページ'!I55/DAY(EOMONTH('01_入力ページ'!I$5,0)))</x:f>
        <x:v>2417.367120967742</x:v>
      </x:c>
      <x:c r="J11" s="40" t="n">
        <x:f>IF('01_入力ページ'!J51&lt;&gt;"",'01_入力ページ'!J51,('06_PL'!J15+'06_PL'!J18+'06_PL'!J24+'06_PL'!J28)*'01_入力ページ'!J55/DAY(EOMONTH('01_入力ページ'!J$5,0)))</x:f>
        <x:v>2429.88325</x:v>
      </x:c>
      <x:c r="K11" s="40" t="n">
        <x:f>IF('01_入力ページ'!K51&lt;&gt;"",'01_入力ページ'!K51,('06_PL'!K15+'06_PL'!K18+'06_PL'!K24+'06_PL'!K28)*'01_入力ページ'!K55/DAY(EOMONTH('01_入力ページ'!K$5,0)))</x:f>
        <x:v>3796.410870967742</x:v>
      </x:c>
      <x:c r="L11" s="40" t="n">
        <x:f>IF('01_入力ページ'!L51&lt;&gt;"",'01_入力ページ'!L51,('06_PL'!L15+'06_PL'!L18+'06_PL'!L24+'06_PL'!L28)*'01_入力ページ'!L55/DAY(EOMONTH('01_入力ページ'!L$5,0)))</x:f>
        <x:v>4904.733120967741</x:v>
      </x:c>
      <x:c r="M11" s="40" t="n">
        <x:f>IF('01_入力ページ'!M51&lt;&gt;"",'01_入力ページ'!M51,('06_PL'!M15+'06_PL'!M18+'06_PL'!M24+'06_PL'!M28)*'01_入力ページ'!M55/DAY(EOMONTH('01_入力ページ'!M$5,0)))</x:f>
        <x:v>4944.963535714285</x:v>
      </x:c>
      <x:c r="N11" s="40" t="n">
        <x:f>IF('01_入力ページ'!N51&lt;&gt;"",'01_入力ページ'!N51,('06_PL'!N15+'06_PL'!N18+'06_PL'!N24+'06_PL'!N28)*'01_入力ページ'!N55/DAY(EOMONTH('01_入力ページ'!N$5,0)))</x:f>
        <x:v>2772.2776209677413</x:v>
      </x:c>
      <x:c r="O11" s="40" t="n">
        <x:f>IF('01_入力ページ'!O51&lt;&gt;"",'01_入力ページ'!O51,('06_PL'!O15+'06_PL'!O18+'06_PL'!O24+'06_PL'!O28)*'01_入力ページ'!O55/DAY(EOMONTH('01_入力ページ'!O$5,0)))</x:f>
        <x:v>2429.88325</x:v>
      </x:c>
      <x:c r="P11" s="40" t="n">
        <x:f>IF('01_入力ページ'!P51&lt;&gt;"",'01_入力ページ'!P51,('06_PL'!P15+'06_PL'!P18+'06_PL'!P24+'06_PL'!P28)*'01_入力ページ'!P55/DAY(EOMONTH('01_入力ページ'!P$5,0)))</x:f>
        <x:v>2417.367120967742</x:v>
      </x:c>
      <x:c r="Q11" s="40" t="n">
        <x:f>IF('01_入力ページ'!Q51&lt;&gt;"",'01_入力ページ'!Q51,('06_PL'!Q15+'06_PL'!Q18+'06_PL'!Q24+'06_PL'!Q28)*'01_入力ページ'!Q55/DAY(EOMONTH('01_入力ページ'!Q$5,0)))</x:f>
        <x:v>2429.88325</x:v>
      </x:c>
      <x:c r="R11" s="40" t="n">
        <x:f>IF('01_入力ページ'!R51&lt;&gt;"",'01_入力ページ'!R51,('06_PL'!R15+'06_PL'!R18+'06_PL'!R24+'06_PL'!R28)*'01_入力ページ'!R55/DAY(EOMONTH('01_入力ページ'!R$5,0)))</x:f>
        <x:v>3796.410870967742</x:v>
      </x:c>
      <x:c r="S11" s="40" t="n">
        <x:f>IF('01_入力ページ'!S51&lt;&gt;"",'01_入力ページ'!S51,('06_PL'!S15+'06_PL'!S18+'06_PL'!S24+'06_PL'!S28)*'01_入力ページ'!S55/DAY(EOMONTH('01_入力ページ'!S$5,0)))</x:f>
        <x:v>3796.410870967742</x:v>
      </x:c>
      <x:c r="T11" s="40" t="n">
        <x:f>IF('01_入力ページ'!T51&lt;&gt;"",'01_入力ページ'!T51,('06_PL'!T15+'06_PL'!T18+'06_PL'!T24+'06_PL'!T28)*'01_入力ページ'!T55/DAY(EOMONTH('01_入力ページ'!T$5,0)))</x:f>
        <x:v>2429.88325</x:v>
      </x:c>
      <x:c r="U11" s="40" t="n">
        <x:f>IF('01_入力ページ'!U51&lt;&gt;"",'01_入力ページ'!U51,('06_PL'!U15+'06_PL'!U18+'06_PL'!U24+'06_PL'!U28)*'01_入力ページ'!U55/DAY(EOMONTH('01_入力ページ'!U$5,0)))</x:f>
        <x:v>2417.367120967742</x:v>
      </x:c>
      <x:c r="V11" s="40" t="n">
        <x:f>IF('01_入力ページ'!V51&lt;&gt;"",'01_入力ページ'!V51,('06_PL'!V15+'06_PL'!V18+'06_PL'!V24+'06_PL'!V28)*'01_入力ページ'!V55/DAY(EOMONTH('01_入力ページ'!V$5,0)))</x:f>
        <x:v>2429.88325</x:v>
      </x:c>
      <x:c r="W11" s="40" t="n">
        <x:f>IF('01_入力ページ'!W51&lt;&gt;"",'01_入力ページ'!W51,('06_PL'!W15+'06_PL'!W18+'06_PL'!W24+'06_PL'!W28)*'01_入力ページ'!W55/DAY(EOMONTH('01_入力ページ'!W$5,0)))</x:f>
        <x:v>3796.410870967742</x:v>
      </x:c>
      <x:c r="X11" s="40" t="n">
        <x:f>IF('01_入力ページ'!X51&lt;&gt;"",'01_入力ページ'!X51,('06_PL'!X15+'06_PL'!X18+'06_PL'!X24+'06_PL'!X28)*'01_入力ページ'!X55/DAY(EOMONTH('01_入力ページ'!X$5,0)))</x:f>
        <x:v>4904.733120967741</x:v>
      </x:c>
      <x:c r="Y11" s="40" t="n">
        <x:f>IF('01_入力ページ'!Y51&lt;&gt;"",'01_入力ページ'!Y51,('06_PL'!Y15+'06_PL'!Y18+'06_PL'!Y24+'06_PL'!Y28)*'01_入力ページ'!Y55/DAY(EOMONTH('01_入力ページ'!Y$5,0)))</x:f>
        <x:v>4930.628560344827</x:v>
      </x:c>
      <x:c r="Z11" s="40" t="n">
        <x:f>IF('01_入力ページ'!Z51&lt;&gt;"",'01_入力ページ'!Z51,('06_PL'!Z15+'06_PL'!Z18+'06_PL'!Z24+'06_PL'!Z28)*'01_入力ページ'!Z55/DAY(EOMONTH('01_入力ページ'!Z$5,0)))</x:f>
        <x:v>2772.2776209677413</x:v>
      </x:c>
      <x:c r="AA11" s="40" t="n">
        <x:f>IF('01_入力ページ'!AA51&lt;&gt;"",'01_入力ページ'!AA51,('06_PL'!AA15+'06_PL'!AA18+'06_PL'!AA24+'06_PL'!AA28)*'01_入力ページ'!AA55/DAY(EOMONTH('01_入力ページ'!AA$5,0)))</x:f>
        <x:v>2429.88325</x:v>
      </x:c>
      <x:c r="AB11" s="40" t="n">
        <x:f>IF('01_入力ページ'!AB51&lt;&gt;"",'01_入力ページ'!AB51,('06_PL'!AB15+'06_PL'!AB18+'06_PL'!AB24+'06_PL'!AB28)*'01_入力ページ'!AB55/DAY(EOMONTH('01_入力ページ'!AB$5,0)))</x:f>
        <x:v>2417.367120967742</x:v>
      </x:c>
      <x:c r="AC11" s="40" t="n">
        <x:f>IF('01_入力ページ'!AC51&lt;&gt;"",'01_入力ページ'!AC51,('06_PL'!AC15+'06_PL'!AC18+'06_PL'!AC24+'06_PL'!AC28)*'01_入力ページ'!AC55/DAY(EOMONTH('01_入力ページ'!AC$5,0)))</x:f>
        <x:v>2429.88325</x:v>
      </x:c>
      <x:c r="AD11" s="40" t="n">
        <x:f>IF('01_入力ページ'!AD51&lt;&gt;"",'01_入力ページ'!AD51,('06_PL'!AD15+'06_PL'!AD18+'06_PL'!AD24+'06_PL'!AD28)*'01_入力ページ'!AD55/DAY(EOMONTH('01_入力ページ'!AD$5,0)))</x:f>
        <x:v>3796.410870967742</x:v>
      </x:c>
      <x:c r="AE11" s="40" t="n">
        <x:f>IF('01_入力ページ'!AE51&lt;&gt;"",'01_入力ページ'!AE51,('06_PL'!AE15+'06_PL'!AE18+'06_PL'!AE24+'06_PL'!AE28)*'01_入力ページ'!AE55/DAY(EOMONTH('01_入力ページ'!AE$5,0)))</x:f>
        <x:v>3796.410870967742</x:v>
      </x:c>
      <x:c r="AF11" s="40" t="n">
        <x:f>IF('01_入力ページ'!AF51&lt;&gt;"",'01_入力ページ'!AF51,('06_PL'!AF15+'06_PL'!AF18+'06_PL'!AF24+'06_PL'!AF28)*'01_入力ページ'!AF55/DAY(EOMONTH('01_入力ページ'!AF$5,0)))</x:f>
        <x:v>2429.88325</x:v>
      </x:c>
      <x:c r="AG11" s="40" t="n">
        <x:f>IF('01_入力ページ'!AG51&lt;&gt;"",'01_入力ページ'!AG51,('06_PL'!AG15+'06_PL'!AG18+'06_PL'!AG24+'06_PL'!AG28)*'01_入力ページ'!AG55/DAY(EOMONTH('01_入力ページ'!AG$5,0)))</x:f>
        <x:v>2417.367120967742</x:v>
      </x:c>
      <x:c r="AH11" s="40" t="n">
        <x:f>IF('01_入力ページ'!AH51&lt;&gt;"",'01_入力ページ'!AH51,('06_PL'!AH15+'06_PL'!AH18+'06_PL'!AH24+'06_PL'!AH28)*'01_入力ページ'!AH55/DAY(EOMONTH('01_入力ページ'!AH$5,0)))</x:f>
        <x:v>2429.88325</x:v>
      </x:c>
      <x:c r="AI11" s="40" t="n">
        <x:f>IF('01_入力ページ'!AI51&lt;&gt;"",'01_入力ページ'!AI51,('06_PL'!AI15+'06_PL'!AI18+'06_PL'!AI24+'06_PL'!AI28)*'01_入力ページ'!AI55/DAY(EOMONTH('01_入力ページ'!AI$5,0)))</x:f>
        <x:v>3796.410870967742</x:v>
      </x:c>
      <x:c r="AJ11" s="40" t="n">
        <x:f>IF('01_入力ページ'!AJ51&lt;&gt;"",'01_入力ページ'!AJ51,('06_PL'!AJ15+'06_PL'!AJ18+'06_PL'!AJ24+'06_PL'!AJ28)*'01_入力ページ'!AJ55/DAY(EOMONTH('01_入力ページ'!AJ$5,0)))</x:f>
        <x:v>4904.733120967741</x:v>
      </x:c>
      <x:c r="AK11" s="40" t="n">
        <x:f>IF('01_入力ページ'!AK51&lt;&gt;"",'01_入力ページ'!AK51,('06_PL'!AK15+'06_PL'!AK18+'06_PL'!AK24+'06_PL'!AK28)*'01_入力ページ'!AK55/DAY(EOMONTH('01_入力ページ'!AK$5,0)))</x:f>
        <x:v>4944.963535714285</x:v>
      </x:c>
      <x:c r="AL11" s="40" t="n">
        <x:f>IF('01_入力ページ'!AL51&lt;&gt;"",'01_入力ページ'!AL51,('06_PL'!AL15+'06_PL'!AL18+'06_PL'!AL24+'06_PL'!AL28)*'01_入力ページ'!AL55/DAY(EOMONTH('01_入力ページ'!AL$5,0)))</x:f>
        <x:v>2772.2776209677413</x:v>
      </x:c>
      <x:c r="AM11" s="40" t="n">
        <x:f>IF('01_入力ページ'!AM51&lt;&gt;"",'01_入力ページ'!AM51,('06_PL'!AM15+'06_PL'!AM18+'06_PL'!AM24+'06_PL'!AM28)*'01_入力ページ'!AM55/DAY(EOMONTH('01_入力ページ'!AM$5,0)))</x:f>
        <x:v>2429.88325</x:v>
      </x:c>
      <x:c r="AN11" s="40" t="n">
        <x:f>IF('01_入力ページ'!AN51&lt;&gt;"",'01_入力ページ'!AN51,('06_PL'!AN15+'06_PL'!AN18+'06_PL'!AN24+'06_PL'!AN28)*'01_入力ページ'!AN55/DAY(EOMONTH('01_入力ページ'!AN$5,0)))</x:f>
        <x:v>2417.367120967742</x:v>
      </x:c>
      <x:c r="AO11" s="40" t="n">
        <x:f>IF('01_入力ページ'!AO51&lt;&gt;"",'01_入力ページ'!AO51,('06_PL'!AO15+'06_PL'!AO18+'06_PL'!AO24+'06_PL'!AO28)*'01_入力ページ'!AO55/DAY(EOMONTH('01_入力ページ'!AO$5,0)))</x:f>
        <x:v>2429.88325</x:v>
      </x:c>
      <x:c r="AP11" s="40" t="n">
        <x:f>IF('01_入力ページ'!AP51&lt;&gt;"",'01_入力ページ'!AP51,('06_PL'!AP15+'06_PL'!AP18+'06_PL'!AP24+'06_PL'!AP28)*'01_入力ページ'!AP55/DAY(EOMONTH('01_入力ページ'!AP$5,0)))</x:f>
        <x:v>3796.410870967742</x:v>
      </x:c>
      <x:c r="AQ11" s="40" t="n">
        <x:f>IF('01_入力ページ'!AQ51&lt;&gt;"",'01_入力ページ'!AQ51,('06_PL'!AQ15+'06_PL'!AQ18+'06_PL'!AQ24+'06_PL'!AQ28)*'01_入力ページ'!AQ55/DAY(EOMONTH('01_入力ページ'!AQ$5,0)))</x:f>
        <x:v>3796.410870967742</x:v>
      </x:c>
      <x:c r="AR11" s="40" t="n">
        <x:f>IF('01_入力ページ'!AR51&lt;&gt;"",'01_入力ページ'!AR51,('06_PL'!AR15+'06_PL'!AR18+'06_PL'!AR24+'06_PL'!AR28)*'01_入力ページ'!AR55/DAY(EOMONTH('01_入力ページ'!AR$5,0)))</x:f>
        <x:v>2429.88325</x:v>
      </x:c>
      <x:c r="AS11" s="40" t="n">
        <x:f>IF('01_入力ページ'!AS51&lt;&gt;"",'01_入力ページ'!AS51,('06_PL'!AS15+'06_PL'!AS18+'06_PL'!AS24+'06_PL'!AS28)*'01_入力ページ'!AS55/DAY(EOMONTH('01_入力ページ'!AS$5,0)))</x:f>
        <x:v>2417.367120967742</x:v>
      </x:c>
      <x:c r="AT11" s="40" t="n">
        <x:f>IF('01_入力ページ'!AT51&lt;&gt;"",'01_入力ページ'!AT51,('06_PL'!AT15+'06_PL'!AT18+'06_PL'!AT24+'06_PL'!AT28)*'01_入力ページ'!AT55/DAY(EOMONTH('01_入力ページ'!AT$5,0)))</x:f>
        <x:v>2429.88325</x:v>
      </x:c>
      <x:c r="AU11" s="40" t="n">
        <x:f>IF('01_入力ページ'!AU51&lt;&gt;"",'01_入力ページ'!AU51,('06_PL'!AU15+'06_PL'!AU18+'06_PL'!AU24+'06_PL'!AU28)*'01_入力ページ'!AU55/DAY(EOMONTH('01_入力ページ'!AU$5,0)))</x:f>
        <x:v>3796.410870967742</x:v>
      </x:c>
      <x:c r="AV11" s="40" t="n">
        <x:f>IF('01_入力ページ'!AV51&lt;&gt;"",'01_入力ページ'!AV51,('06_PL'!AV15+'06_PL'!AV18+'06_PL'!AV24+'06_PL'!AV28)*'01_入力ページ'!AV55/DAY(EOMONTH('01_入力ページ'!AV$5,0)))</x:f>
        <x:v>4904.733120967741</x:v>
      </x:c>
      <x:c r="AW11" s="40" t="n">
        <x:f>IF('01_入力ページ'!AW51&lt;&gt;"",'01_入力ページ'!AW51,('06_PL'!AW15+'06_PL'!AW18+'06_PL'!AW24+'06_PL'!AW28)*'01_入力ページ'!AW55/DAY(EOMONTH('01_入力ページ'!AW$5,0)))</x:f>
        <x:v>4944.963535714285</x:v>
      </x:c>
      <x:c r="AX11" s="40" t="n">
        <x:f>IF('01_入力ページ'!AX51&lt;&gt;"",'01_入力ページ'!AX51,('06_PL'!AX15+'06_PL'!AX18+'06_PL'!AX24+'06_PL'!AX28)*'01_入力ページ'!AX55/DAY(EOMONTH('01_入力ページ'!AX$5,0)))</x:f>
        <x:v>2772.2776209677413</x:v>
      </x:c>
      <x:c r="AY11" s="40" t="n">
        <x:f>IF('01_入力ページ'!AY51&lt;&gt;"",'01_入力ページ'!AY51,('06_PL'!AY15+'06_PL'!AY18+'06_PL'!AY24+'06_PL'!AY28)*'01_入力ページ'!AY55/DAY(EOMONTH('01_入力ページ'!AY$5,0)))</x:f>
        <x:v>2429.88325</x:v>
      </x:c>
      <x:c r="AZ11" s="40" t="n">
        <x:f>IF('01_入力ページ'!AZ51&lt;&gt;"",'01_入力ページ'!AZ51,('06_PL'!AZ15+'06_PL'!AZ18+'06_PL'!AZ24+'06_PL'!AZ28)*'01_入力ページ'!AZ55/DAY(EOMONTH('01_入力ページ'!AZ$5,0)))</x:f>
        <x:v>2417.367120967742</x:v>
      </x:c>
      <x:c r="BA11" s="40" t="n">
        <x:f>IF('01_入力ページ'!BA51&lt;&gt;"",'01_入力ページ'!BA51,('06_PL'!BA15+'06_PL'!BA18+'06_PL'!BA24+'06_PL'!BA28)*'01_入力ページ'!BA55/DAY(EOMONTH('01_入力ページ'!BA$5,0)))</x:f>
        <x:v>2429.88325</x:v>
      </x:c>
      <x:c r="BB11" s="40" t="n">
        <x:f>IF('01_入力ページ'!BB51&lt;&gt;"",'01_入力ページ'!BB51,('06_PL'!BB15+'06_PL'!BB18+'06_PL'!BB24+'06_PL'!BB28)*'01_入力ページ'!BB55/DAY(EOMONTH('01_入力ページ'!BB$5,0)))</x:f>
        <x:v>3796.410870967742</x:v>
      </x:c>
      <x:c r="BC11" s="40" t="n">
        <x:f>IF('01_入力ページ'!BC51&lt;&gt;"",'01_入力ページ'!BC51,('06_PL'!BC15+'06_PL'!BC18+'06_PL'!BC24+'06_PL'!BC28)*'01_入力ページ'!BC55/DAY(EOMONTH('01_入力ページ'!BC$5,0)))</x:f>
        <x:v>3796.410870967742</x:v>
      </x:c>
      <x:c r="BD11" s="40" t="n">
        <x:f>IF('01_入力ページ'!BD51&lt;&gt;"",'01_入力ページ'!BD51,('06_PL'!BD15+'06_PL'!BD18+'06_PL'!BD24+'06_PL'!BD28)*'01_入力ページ'!BD55/DAY(EOMONTH('01_入力ページ'!BD$5,0)))</x:f>
        <x:v>2429.88325</x:v>
      </x:c>
      <x:c r="BE11" s="40" t="n">
        <x:f>IF('01_入力ページ'!BE51&lt;&gt;"",'01_入力ページ'!BE51,('06_PL'!BE15+'06_PL'!BE18+'06_PL'!BE24+'06_PL'!BE28)*'01_入力ページ'!BE55/DAY(EOMONTH('01_入力ページ'!BE$5,0)))</x:f>
        <x:v>2417.367120967742</x:v>
      </x:c>
      <x:c r="BF11" s="40" t="n">
        <x:f>IF('01_入力ページ'!BF51&lt;&gt;"",'01_入力ページ'!BF51,('06_PL'!BF15+'06_PL'!BF18+'06_PL'!BF24+'06_PL'!BF28)*'01_入力ページ'!BF55/DAY(EOMONTH('01_入力ページ'!BF$5,0)))</x:f>
        <x:v>2429.88325</x:v>
      </x:c>
      <x:c r="BG11" s="40" t="n">
        <x:f>IF('01_入力ページ'!BG51&lt;&gt;"",'01_入力ページ'!BG51,('06_PL'!BG15+'06_PL'!BG18+'06_PL'!BG24+'06_PL'!BG28)*'01_入力ページ'!BG55/DAY(EOMONTH('01_入力ページ'!BG$5,0)))</x:f>
        <x:v>3796.410870967742</x:v>
      </x:c>
      <x:c r="BH11" s="40" t="n">
        <x:f>IF('01_入力ページ'!BH51&lt;&gt;"",'01_入力ページ'!BH51,('06_PL'!BH15+'06_PL'!BH18+'06_PL'!BH24+'06_PL'!BH28)*'01_入力ページ'!BH55/DAY(EOMONTH('01_入力ページ'!BH$5,0)))</x:f>
        <x:v>4904.733120967741</x:v>
      </x:c>
      <x:c r="BI11" s="40" t="n">
        <x:f>IF('01_入力ページ'!BI51&lt;&gt;"",'01_入力ページ'!BI51,('06_PL'!BI15+'06_PL'!BI18+'06_PL'!BI24+'06_PL'!BI28)*'01_入力ページ'!BI55/DAY(EOMONTH('01_入力ページ'!BI$5,0)))</x:f>
        <x:v>4944.963535714285</x:v>
      </x:c>
      <x:c r="BJ11" s="40" t="n">
        <x:f>IF('01_入力ページ'!BJ51&lt;&gt;"",'01_入力ページ'!BJ51,('06_PL'!BJ15+'06_PL'!BJ18+'06_PL'!BJ24+'06_PL'!BJ28)*'01_入力ページ'!BJ55/DAY(EOMONTH('01_入力ページ'!BJ$5,0)))</x:f>
        <x:v>2772.2776209677413</x:v>
      </x:c>
    </x:row>
    <x:row r="12">
      <x:c r="A12" s="12" t="str">
        <x:v>負債</x:v>
      </x:c>
      <x:c r="B12" s="12" t="str">
        <x:v>借入金</x:v>
      </x:c>
      <x:c r="C12" s="40" t="n">
        <x:f>'09_借入返済'!C10</x:f>
        <x:v>26300</x:v>
      </x:c>
      <x:c r="D12" s="40" t="n">
        <x:f>'09_借入返済'!D10</x:f>
        <x:v>26300</x:v>
      </x:c>
      <x:c r="E12" s="40" t="n">
        <x:f>'09_借入返済'!E10</x:f>
        <x:v>26300</x:v>
      </x:c>
      <x:c r="F12" s="40" t="n">
        <x:f>'09_借入返済'!F10</x:f>
        <x:v>26300</x:v>
      </x:c>
      <x:c r="G12" s="40" t="n">
        <x:f>'09_借入返済'!G10</x:f>
        <x:v>26300</x:v>
      </x:c>
      <x:c r="H12" s="40" t="n">
        <x:f>'09_借入返済'!H10</x:f>
        <x:v>26300</x:v>
      </x:c>
      <x:c r="I12" s="40" t="n">
        <x:f>'09_借入返済'!I10</x:f>
        <x:v>26300</x:v>
      </x:c>
      <x:c r="J12" s="40" t="n">
        <x:f>'09_借入返済'!J10</x:f>
        <x:v>26300</x:v>
      </x:c>
      <x:c r="K12" s="40" t="n">
        <x:f>'09_借入返済'!K10</x:f>
        <x:v>26300</x:v>
      </x:c>
      <x:c r="L12" s="40" t="n">
        <x:f>'09_借入返済'!L10</x:f>
        <x:v>26300</x:v>
      </x:c>
      <x:c r="M12" s="40" t="n">
        <x:f>'09_借入返済'!M10</x:f>
        <x:v>26300</x:v>
      </x:c>
      <x:c r="N12" s="40" t="n">
        <x:f>'09_借入返済'!N10</x:f>
        <x:v>26300</x:v>
      </x:c>
      <x:c r="O12" s="40" t="n">
        <x:f>'09_借入返済'!O10</x:f>
        <x:v>26300</x:v>
      </x:c>
      <x:c r="P12" s="40" t="n">
        <x:f>'09_借入返済'!P10</x:f>
        <x:v>26300</x:v>
      </x:c>
      <x:c r="Q12" s="40" t="n">
        <x:f>'09_借入返済'!Q10</x:f>
        <x:v>26300</x:v>
      </x:c>
      <x:c r="R12" s="40" t="n">
        <x:f>'09_借入返済'!R10</x:f>
        <x:v>26300</x:v>
      </x:c>
      <x:c r="S12" s="40" t="n">
        <x:f>'09_借入返済'!S10</x:f>
        <x:v>26300</x:v>
      </x:c>
      <x:c r="T12" s="40" t="n">
        <x:f>'09_借入返済'!T10</x:f>
        <x:v>26300</x:v>
      </x:c>
      <x:c r="U12" s="40" t="n">
        <x:f>'09_借入返済'!U10</x:f>
        <x:v>26300</x:v>
      </x:c>
      <x:c r="V12" s="40" t="n">
        <x:f>'09_借入返済'!V10</x:f>
        <x:v>26300</x:v>
      </x:c>
      <x:c r="W12" s="40" t="n">
        <x:f>'09_借入返済'!W10</x:f>
        <x:v>26300</x:v>
      </x:c>
      <x:c r="X12" s="40" t="n">
        <x:f>'09_借入返済'!X10</x:f>
        <x:v>26300</x:v>
      </x:c>
      <x:c r="Y12" s="40" t="n">
        <x:f>'09_借入返済'!Y10</x:f>
        <x:v>26300</x:v>
      </x:c>
      <x:c r="Z12" s="40" t="n">
        <x:f>'09_借入返済'!Z10</x:f>
        <x:v>26300</x:v>
      </x:c>
      <x:c r="AA12" s="40" t="n">
        <x:f>'09_借入返済'!AA10</x:f>
        <x:v>26300</x:v>
      </x:c>
      <x:c r="AB12" s="40" t="n">
        <x:f>'09_借入返済'!AB10</x:f>
        <x:v>26300</x:v>
      </x:c>
      <x:c r="AC12" s="40" t="n">
        <x:f>'09_借入返済'!AC10</x:f>
        <x:v>26300</x:v>
      </x:c>
      <x:c r="AD12" s="40" t="n">
        <x:f>'09_借入返済'!AD10</x:f>
        <x:v>26300</x:v>
      </x:c>
      <x:c r="AE12" s="40" t="n">
        <x:f>'09_借入返済'!AE10</x:f>
        <x:v>26300</x:v>
      </x:c>
      <x:c r="AF12" s="40" t="n">
        <x:f>'09_借入返済'!AF10</x:f>
        <x:v>26300</x:v>
      </x:c>
      <x:c r="AG12" s="40" t="n">
        <x:f>'09_借入返済'!AG10</x:f>
        <x:v>26300</x:v>
      </x:c>
      <x:c r="AH12" s="40" t="n">
        <x:f>'09_借入返済'!AH10</x:f>
        <x:v>26300</x:v>
      </x:c>
      <x:c r="AI12" s="40" t="n">
        <x:f>'09_借入返済'!AI10</x:f>
        <x:v>26300</x:v>
      </x:c>
      <x:c r="AJ12" s="40" t="n">
        <x:f>'09_借入返済'!AJ10</x:f>
        <x:v>26300</x:v>
      </x:c>
      <x:c r="AK12" s="40" t="n">
        <x:f>'09_借入返済'!AK10</x:f>
        <x:v>26300</x:v>
      </x:c>
      <x:c r="AL12" s="40" t="n">
        <x:f>'09_借入返済'!AL10</x:f>
        <x:v>26300</x:v>
      </x:c>
      <x:c r="AM12" s="40" t="n">
        <x:f>'09_借入返済'!AM10</x:f>
        <x:v>26300</x:v>
      </x:c>
      <x:c r="AN12" s="40" t="n">
        <x:f>'09_借入返済'!AN10</x:f>
        <x:v>26300</x:v>
      </x:c>
      <x:c r="AO12" s="40" t="n">
        <x:f>'09_借入返済'!AO10</x:f>
        <x:v>26300</x:v>
      </x:c>
      <x:c r="AP12" s="40" t="n">
        <x:f>'09_借入返済'!AP10</x:f>
        <x:v>26300</x:v>
      </x:c>
      <x:c r="AQ12" s="40" t="n">
        <x:f>'09_借入返済'!AQ10</x:f>
        <x:v>26300</x:v>
      </x:c>
      <x:c r="AR12" s="40" t="n">
        <x:f>'09_借入返済'!AR10</x:f>
        <x:v>26300</x:v>
      </x:c>
      <x:c r="AS12" s="40" t="n">
        <x:f>'09_借入返済'!AS10</x:f>
        <x:v>26300</x:v>
      </x:c>
      <x:c r="AT12" s="40" t="n">
        <x:f>'09_借入返済'!AT10</x:f>
        <x:v>26300</x:v>
      </x:c>
      <x:c r="AU12" s="40" t="n">
        <x:f>'09_借入返済'!AU10</x:f>
        <x:v>26300</x:v>
      </x:c>
      <x:c r="AV12" s="40" t="n">
        <x:f>'09_借入返済'!AV10</x:f>
        <x:v>26300</x:v>
      </x:c>
      <x:c r="AW12" s="40" t="n">
        <x:f>'09_借入返済'!AW10</x:f>
        <x:v>26300</x:v>
      </x:c>
      <x:c r="AX12" s="40" t="n">
        <x:f>'09_借入返済'!AX10</x:f>
        <x:v>26300</x:v>
      </x:c>
      <x:c r="AY12" s="40" t="n">
        <x:f>'09_借入返済'!AY10</x:f>
        <x:v>26300</x:v>
      </x:c>
      <x:c r="AZ12" s="40" t="n">
        <x:f>'09_借入返済'!AZ10</x:f>
        <x:v>26300</x:v>
      </x:c>
      <x:c r="BA12" s="40" t="n">
        <x:f>'09_借入返済'!BA10</x:f>
        <x:v>26300</x:v>
      </x:c>
      <x:c r="BB12" s="40" t="n">
        <x:f>'09_借入返済'!BB10</x:f>
        <x:v>26300</x:v>
      </x:c>
      <x:c r="BC12" s="40" t="n">
        <x:f>'09_借入返済'!BC10</x:f>
        <x:v>26300</x:v>
      </x:c>
      <x:c r="BD12" s="40" t="n">
        <x:f>'09_借入返済'!BD10</x:f>
        <x:v>26300</x:v>
      </x:c>
      <x:c r="BE12" s="40" t="n">
        <x:f>'09_借入返済'!BE10</x:f>
        <x:v>26300</x:v>
      </x:c>
      <x:c r="BF12" s="40" t="n">
        <x:f>'09_借入返済'!BF10</x:f>
        <x:v>26300</x:v>
      </x:c>
      <x:c r="BG12" s="40" t="n">
        <x:f>'09_借入返済'!BG10</x:f>
        <x:v>26300</x:v>
      </x:c>
      <x:c r="BH12" s="40" t="n">
        <x:f>'09_借入返済'!BH10</x:f>
        <x:v>26300</x:v>
      </x:c>
      <x:c r="BI12" s="40" t="n">
        <x:f>'09_借入返済'!BI10</x:f>
        <x:v>26300</x:v>
      </x:c>
      <x:c r="BJ12" s="40" t="n">
        <x:f>'09_借入返済'!BJ10</x:f>
        <x:v>26300</x:v>
      </x:c>
    </x:row>
    <x:row r="13">
      <x:c r="A13" s="12" t="str">
        <x:v>負債</x:v>
      </x:c>
      <x:c r="B13" s="12" t="str">
        <x:v>その他負債</x:v>
      </x:c>
      <x:c r="C13" s="40" t="n">
        <x:f>IF('01_入力ページ'!C52&lt;&gt;"",'01_入力ページ'!C52,0)</x:f>
        <x:v>0</x:v>
      </x:c>
      <x:c r="D13" s="40" t="n">
        <x:f>IF('01_入力ページ'!D52&lt;&gt;"",'01_入力ページ'!D52,C13)</x:f>
        <x:v>0</x:v>
      </x:c>
      <x:c r="E13" s="40" t="n">
        <x:f>IF('01_入力ページ'!E52&lt;&gt;"",'01_入力ページ'!E52,D13)</x:f>
        <x:v>0</x:v>
      </x:c>
      <x:c r="F13" s="40" t="n">
        <x:f>IF('01_入力ページ'!F52&lt;&gt;"",'01_入力ページ'!F52,E13)</x:f>
        <x:v>0</x:v>
      </x:c>
      <x:c r="G13" s="40" t="n">
        <x:f>IF('01_入力ページ'!G52&lt;&gt;"",'01_入力ページ'!G52,F13)</x:f>
        <x:v>0</x:v>
      </x:c>
      <x:c r="H13" s="40" t="n">
        <x:f>IF('01_入力ページ'!H52&lt;&gt;"",'01_入力ページ'!H52,G13)</x:f>
        <x:v>0</x:v>
      </x:c>
      <x:c r="I13" s="40" t="n">
        <x:f>IF('01_入力ページ'!I52&lt;&gt;"",'01_入力ページ'!I52,H13)</x:f>
        <x:v>0</x:v>
      </x:c>
      <x:c r="J13" s="40" t="n">
        <x:f>IF('01_入力ページ'!J52&lt;&gt;"",'01_入力ページ'!J52,I13)</x:f>
        <x:v>0</x:v>
      </x:c>
      <x:c r="K13" s="40" t="n">
        <x:f>IF('01_入力ページ'!K52&lt;&gt;"",'01_入力ページ'!K52,J13)</x:f>
        <x:v>0</x:v>
      </x:c>
      <x:c r="L13" s="40" t="n">
        <x:f>IF('01_入力ページ'!L52&lt;&gt;"",'01_入力ページ'!L52,K13)</x:f>
        <x:v>0</x:v>
      </x:c>
      <x:c r="M13" s="40" t="n">
        <x:f>IF('01_入力ページ'!M52&lt;&gt;"",'01_入力ページ'!M52,L13)</x:f>
        <x:v>0</x:v>
      </x:c>
      <x:c r="N13" s="40" t="n">
        <x:f>IF('01_入力ページ'!N52&lt;&gt;"",'01_入力ページ'!N52,M13)</x:f>
        <x:v>0</x:v>
      </x:c>
      <x:c r="O13" s="40" t="n">
        <x:f>IF('01_入力ページ'!O52&lt;&gt;"",'01_入力ページ'!O52,N13)</x:f>
        <x:v>0</x:v>
      </x:c>
      <x:c r="P13" s="40" t="n">
        <x:f>IF('01_入力ページ'!P52&lt;&gt;"",'01_入力ページ'!P52,O13)</x:f>
        <x:v>0</x:v>
      </x:c>
      <x:c r="Q13" s="40" t="n">
        <x:f>IF('01_入力ページ'!Q52&lt;&gt;"",'01_入力ページ'!Q52,P13)</x:f>
        <x:v>0</x:v>
      </x:c>
      <x:c r="R13" s="40" t="n">
        <x:f>IF('01_入力ページ'!R52&lt;&gt;"",'01_入力ページ'!R52,Q13)</x:f>
        <x:v>0</x:v>
      </x:c>
      <x:c r="S13" s="40" t="n">
        <x:f>IF('01_入力ページ'!S52&lt;&gt;"",'01_入力ページ'!S52,R13)</x:f>
        <x:v>0</x:v>
      </x:c>
      <x:c r="T13" s="40" t="n">
        <x:f>IF('01_入力ページ'!T52&lt;&gt;"",'01_入力ページ'!T52,S13)</x:f>
        <x:v>0</x:v>
      </x:c>
      <x:c r="U13" s="40" t="n">
        <x:f>IF('01_入力ページ'!U52&lt;&gt;"",'01_入力ページ'!U52,T13)</x:f>
        <x:v>0</x:v>
      </x:c>
      <x:c r="V13" s="40" t="n">
        <x:f>IF('01_入力ページ'!V52&lt;&gt;"",'01_入力ページ'!V52,U13)</x:f>
        <x:v>0</x:v>
      </x:c>
      <x:c r="W13" s="40" t="n">
        <x:f>IF('01_入力ページ'!W52&lt;&gt;"",'01_入力ページ'!W52,V13)</x:f>
        <x:v>0</x:v>
      </x:c>
      <x:c r="X13" s="40" t="n">
        <x:f>IF('01_入力ページ'!X52&lt;&gt;"",'01_入力ページ'!X52,W13)</x:f>
        <x:v>0</x:v>
      </x:c>
      <x:c r="Y13" s="40" t="n">
        <x:f>IF('01_入力ページ'!Y52&lt;&gt;"",'01_入力ページ'!Y52,X13)</x:f>
        <x:v>0</x:v>
      </x:c>
      <x:c r="Z13" s="40" t="n">
        <x:f>IF('01_入力ページ'!Z52&lt;&gt;"",'01_入力ページ'!Z52,Y13)</x:f>
        <x:v>0</x:v>
      </x:c>
      <x:c r="AA13" s="40" t="n">
        <x:f>IF('01_入力ページ'!AA52&lt;&gt;"",'01_入力ページ'!AA52,Z13)</x:f>
        <x:v>0</x:v>
      </x:c>
      <x:c r="AB13" s="40" t="n">
        <x:f>IF('01_入力ページ'!AB52&lt;&gt;"",'01_入力ページ'!AB52,AA13)</x:f>
        <x:v>0</x:v>
      </x:c>
      <x:c r="AC13" s="40" t="n">
        <x:f>IF('01_入力ページ'!AC52&lt;&gt;"",'01_入力ページ'!AC52,AB13)</x:f>
        <x:v>0</x:v>
      </x:c>
      <x:c r="AD13" s="40" t="n">
        <x:f>IF('01_入力ページ'!AD52&lt;&gt;"",'01_入力ページ'!AD52,AC13)</x:f>
        <x:v>0</x:v>
      </x:c>
      <x:c r="AE13" s="40" t="n">
        <x:f>IF('01_入力ページ'!AE52&lt;&gt;"",'01_入力ページ'!AE52,AD13)</x:f>
        <x:v>0</x:v>
      </x:c>
      <x:c r="AF13" s="40" t="n">
        <x:f>IF('01_入力ページ'!AF52&lt;&gt;"",'01_入力ページ'!AF52,AE13)</x:f>
        <x:v>0</x:v>
      </x:c>
      <x:c r="AG13" s="40" t="n">
        <x:f>IF('01_入力ページ'!AG52&lt;&gt;"",'01_入力ページ'!AG52,AF13)</x:f>
        <x:v>0</x:v>
      </x:c>
      <x:c r="AH13" s="40" t="n">
        <x:f>IF('01_入力ページ'!AH52&lt;&gt;"",'01_入力ページ'!AH52,AG13)</x:f>
        <x:v>0</x:v>
      </x:c>
      <x:c r="AI13" s="40" t="n">
        <x:f>IF('01_入力ページ'!AI52&lt;&gt;"",'01_入力ページ'!AI52,AH13)</x:f>
        <x:v>0</x:v>
      </x:c>
      <x:c r="AJ13" s="40" t="n">
        <x:f>IF('01_入力ページ'!AJ52&lt;&gt;"",'01_入力ページ'!AJ52,AI13)</x:f>
        <x:v>0</x:v>
      </x:c>
      <x:c r="AK13" s="40" t="n">
        <x:f>IF('01_入力ページ'!AK52&lt;&gt;"",'01_入力ページ'!AK52,AJ13)</x:f>
        <x:v>0</x:v>
      </x:c>
      <x:c r="AL13" s="40" t="n">
        <x:f>IF('01_入力ページ'!AL52&lt;&gt;"",'01_入力ページ'!AL52,AK13)</x:f>
        <x:v>0</x:v>
      </x:c>
      <x:c r="AM13" s="40" t="n">
        <x:f>IF('01_入力ページ'!AM52&lt;&gt;"",'01_入力ページ'!AM52,AL13)</x:f>
        <x:v>0</x:v>
      </x:c>
      <x:c r="AN13" s="40" t="n">
        <x:f>IF('01_入力ページ'!AN52&lt;&gt;"",'01_入力ページ'!AN52,AM13)</x:f>
        <x:v>0</x:v>
      </x:c>
      <x:c r="AO13" s="40" t="n">
        <x:f>IF('01_入力ページ'!AO52&lt;&gt;"",'01_入力ページ'!AO52,AN13)</x:f>
        <x:v>0</x:v>
      </x:c>
      <x:c r="AP13" s="40" t="n">
        <x:f>IF('01_入力ページ'!AP52&lt;&gt;"",'01_入力ページ'!AP52,AO13)</x:f>
        <x:v>0</x:v>
      </x:c>
      <x:c r="AQ13" s="40" t="n">
        <x:f>IF('01_入力ページ'!AQ52&lt;&gt;"",'01_入力ページ'!AQ52,AP13)</x:f>
        <x:v>0</x:v>
      </x:c>
      <x:c r="AR13" s="40" t="n">
        <x:f>IF('01_入力ページ'!AR52&lt;&gt;"",'01_入力ページ'!AR52,AQ13)</x:f>
        <x:v>0</x:v>
      </x:c>
      <x:c r="AS13" s="40" t="n">
        <x:f>IF('01_入力ページ'!AS52&lt;&gt;"",'01_入力ページ'!AS52,AR13)</x:f>
        <x:v>0</x:v>
      </x:c>
      <x:c r="AT13" s="40" t="n">
        <x:f>IF('01_入力ページ'!AT52&lt;&gt;"",'01_入力ページ'!AT52,AS13)</x:f>
        <x:v>0</x:v>
      </x:c>
      <x:c r="AU13" s="40" t="n">
        <x:f>IF('01_入力ページ'!AU52&lt;&gt;"",'01_入力ページ'!AU52,AT13)</x:f>
        <x:v>0</x:v>
      </x:c>
      <x:c r="AV13" s="40" t="n">
        <x:f>IF('01_入力ページ'!AV52&lt;&gt;"",'01_入力ページ'!AV52,AU13)</x:f>
        <x:v>0</x:v>
      </x:c>
      <x:c r="AW13" s="40" t="n">
        <x:f>IF('01_入力ページ'!AW52&lt;&gt;"",'01_入力ページ'!AW52,AV13)</x:f>
        <x:v>0</x:v>
      </x:c>
      <x:c r="AX13" s="40" t="n">
        <x:f>IF('01_入力ページ'!AX52&lt;&gt;"",'01_入力ページ'!AX52,AW13)</x:f>
        <x:v>0</x:v>
      </x:c>
      <x:c r="AY13" s="40" t="n">
        <x:f>IF('01_入力ページ'!AY52&lt;&gt;"",'01_入力ページ'!AY52,AX13)</x:f>
        <x:v>0</x:v>
      </x:c>
      <x:c r="AZ13" s="40" t="n">
        <x:f>IF('01_入力ページ'!AZ52&lt;&gt;"",'01_入力ページ'!AZ52,AY13)</x:f>
        <x:v>0</x:v>
      </x:c>
      <x:c r="BA13" s="40" t="n">
        <x:f>IF('01_入力ページ'!BA52&lt;&gt;"",'01_入力ページ'!BA52,AZ13)</x:f>
        <x:v>0</x:v>
      </x:c>
      <x:c r="BB13" s="40" t="n">
        <x:f>IF('01_入力ページ'!BB52&lt;&gt;"",'01_入力ページ'!BB52,BA13)</x:f>
        <x:v>0</x:v>
      </x:c>
      <x:c r="BC13" s="40" t="n">
        <x:f>IF('01_入力ページ'!BC52&lt;&gt;"",'01_入力ページ'!BC52,BB13)</x:f>
        <x:v>0</x:v>
      </x:c>
      <x:c r="BD13" s="40" t="n">
        <x:f>IF('01_入力ページ'!BD52&lt;&gt;"",'01_入力ページ'!BD52,BC13)</x:f>
        <x:v>0</x:v>
      </x:c>
      <x:c r="BE13" s="40" t="n">
        <x:f>IF('01_入力ページ'!BE52&lt;&gt;"",'01_入力ページ'!BE52,BD13)</x:f>
        <x:v>0</x:v>
      </x:c>
      <x:c r="BF13" s="40" t="n">
        <x:f>IF('01_入力ページ'!BF52&lt;&gt;"",'01_入力ページ'!BF52,BE13)</x:f>
        <x:v>0</x:v>
      </x:c>
      <x:c r="BG13" s="40" t="n">
        <x:f>IF('01_入力ページ'!BG52&lt;&gt;"",'01_入力ページ'!BG52,BF13)</x:f>
        <x:v>0</x:v>
      </x:c>
      <x:c r="BH13" s="40" t="n">
        <x:f>IF('01_入力ページ'!BH52&lt;&gt;"",'01_入力ページ'!BH52,BG13)</x:f>
        <x:v>0</x:v>
      </x:c>
      <x:c r="BI13" s="40" t="n">
        <x:f>IF('01_入力ページ'!BI52&lt;&gt;"",'01_入力ページ'!BI52,BH13)</x:f>
        <x:v>0</x:v>
      </x:c>
      <x:c r="BJ13" s="40" t="n">
        <x:f>IF('01_入力ページ'!BJ52&lt;&gt;"",'01_入力ページ'!BJ52,BI13)</x:f>
        <x:v>0</x:v>
      </x:c>
    </x:row>
    <x:row r="14">
      <x:c r="A14" s="12" t="str">
        <x:v>負債</x:v>
      </x:c>
      <x:c r="B14" s="12" t="str">
        <x:v>負債合計</x:v>
      </x:c>
      <x:c r="C14" s="40" t="n">
        <x:f>SUM(C11:C13)</x:f>
        <x:v>28729.88325</x:v>
      </x:c>
      <x:c r="D14" s="40" t="n">
        <x:f>SUM(D11:D13)</x:f>
        <x:v>28717.36712096774</x:v>
      </x:c>
      <x:c r="E14" s="40" t="n">
        <x:f>SUM(E11:E13)</x:f>
        <x:v>28729.88325</x:v>
      </x:c>
      <x:c r="F14" s="40" t="n">
        <x:f>SUM(F11:F13)</x:f>
        <x:v>30096.410870967742</x:v>
      </x:c>
      <x:c r="G14" s="40" t="n">
        <x:f>SUM(G11:G13)</x:f>
        <x:v>30096.410870967742</x:v>
      </x:c>
      <x:c r="H14" s="40" t="n">
        <x:f>SUM(H11:H13)</x:f>
        <x:v>28729.88325</x:v>
      </x:c>
      <x:c r="I14" s="40" t="n">
        <x:f>SUM(I11:I13)</x:f>
        <x:v>28717.36712096774</x:v>
      </x:c>
      <x:c r="J14" s="40" t="n">
        <x:f>SUM(J11:J13)</x:f>
        <x:v>28729.88325</x:v>
      </x:c>
      <x:c r="K14" s="40" t="n">
        <x:f>SUM(K11:K13)</x:f>
        <x:v>30096.410870967742</x:v>
      </x:c>
      <x:c r="L14" s="40" t="n">
        <x:f>SUM(L11:L13)</x:f>
        <x:v>31204.733120967743</x:v>
      </x:c>
      <x:c r="M14" s="40" t="n">
        <x:f>SUM(M11:M13)</x:f>
        <x:v>31244.963535714283</x:v>
      </x:c>
      <x:c r="N14" s="40" t="n">
        <x:f>SUM(N11:N13)</x:f>
        <x:v>29072.27762096774</x:v>
      </x:c>
      <x:c r="O14" s="40" t="n">
        <x:f>SUM(O11:O13)</x:f>
        <x:v>28729.88325</x:v>
      </x:c>
      <x:c r="P14" s="40" t="n">
        <x:f>SUM(P11:P13)</x:f>
        <x:v>28717.36712096774</x:v>
      </x:c>
      <x:c r="Q14" s="40" t="n">
        <x:f>SUM(Q11:Q13)</x:f>
        <x:v>28729.88325</x:v>
      </x:c>
      <x:c r="R14" s="40" t="n">
        <x:f>SUM(R11:R13)</x:f>
        <x:v>30096.410870967742</x:v>
      </x:c>
      <x:c r="S14" s="40" t="n">
        <x:f>SUM(S11:S13)</x:f>
        <x:v>30096.410870967742</x:v>
      </x:c>
      <x:c r="T14" s="40" t="n">
        <x:f>SUM(T11:T13)</x:f>
        <x:v>28729.88325</x:v>
      </x:c>
      <x:c r="U14" s="40" t="n">
        <x:f>SUM(U11:U13)</x:f>
        <x:v>28717.36712096774</x:v>
      </x:c>
      <x:c r="V14" s="40" t="n">
        <x:f>SUM(V11:V13)</x:f>
        <x:v>28729.88325</x:v>
      </x:c>
      <x:c r="W14" s="40" t="n">
        <x:f>SUM(W11:W13)</x:f>
        <x:v>30096.410870967742</x:v>
      </x:c>
      <x:c r="X14" s="40" t="n">
        <x:f>SUM(X11:X13)</x:f>
        <x:v>31204.733120967743</x:v>
      </x:c>
      <x:c r="Y14" s="40" t="n">
        <x:f>SUM(Y11:Y13)</x:f>
        <x:v>31230.628560344827</x:v>
      </x:c>
      <x:c r="Z14" s="40" t="n">
        <x:f>SUM(Z11:Z13)</x:f>
        <x:v>29072.27762096774</x:v>
      </x:c>
      <x:c r="AA14" s="40" t="n">
        <x:f>SUM(AA11:AA13)</x:f>
        <x:v>28729.88325</x:v>
      </x:c>
      <x:c r="AB14" s="40" t="n">
        <x:f>SUM(AB11:AB13)</x:f>
        <x:v>28717.36712096774</x:v>
      </x:c>
      <x:c r="AC14" s="40" t="n">
        <x:f>SUM(AC11:AC13)</x:f>
        <x:v>28729.88325</x:v>
      </x:c>
      <x:c r="AD14" s="40" t="n">
        <x:f>SUM(AD11:AD13)</x:f>
        <x:v>30096.410870967742</x:v>
      </x:c>
      <x:c r="AE14" s="40" t="n">
        <x:f>SUM(AE11:AE13)</x:f>
        <x:v>30096.410870967742</x:v>
      </x:c>
      <x:c r="AF14" s="40" t="n">
        <x:f>SUM(AF11:AF13)</x:f>
        <x:v>28729.88325</x:v>
      </x:c>
      <x:c r="AG14" s="40" t="n">
        <x:f>SUM(AG11:AG13)</x:f>
        <x:v>28717.36712096774</x:v>
      </x:c>
      <x:c r="AH14" s="40" t="n">
        <x:f>SUM(AH11:AH13)</x:f>
        <x:v>28729.88325</x:v>
      </x:c>
      <x:c r="AI14" s="40" t="n">
        <x:f>SUM(AI11:AI13)</x:f>
        <x:v>30096.410870967742</x:v>
      </x:c>
      <x:c r="AJ14" s="40" t="n">
        <x:f>SUM(AJ11:AJ13)</x:f>
        <x:v>31204.733120967743</x:v>
      </x:c>
      <x:c r="AK14" s="40" t="n">
        <x:f>SUM(AK11:AK13)</x:f>
        <x:v>31244.963535714283</x:v>
      </x:c>
      <x:c r="AL14" s="40" t="n">
        <x:f>SUM(AL11:AL13)</x:f>
        <x:v>29072.27762096774</x:v>
      </x:c>
      <x:c r="AM14" s="40" t="n">
        <x:f>SUM(AM11:AM13)</x:f>
        <x:v>28729.88325</x:v>
      </x:c>
      <x:c r="AN14" s="40" t="n">
        <x:f>SUM(AN11:AN13)</x:f>
        <x:v>28717.36712096774</x:v>
      </x:c>
      <x:c r="AO14" s="40" t="n">
        <x:f>SUM(AO11:AO13)</x:f>
        <x:v>28729.88325</x:v>
      </x:c>
      <x:c r="AP14" s="40" t="n">
        <x:f>SUM(AP11:AP13)</x:f>
        <x:v>30096.410870967742</x:v>
      </x:c>
      <x:c r="AQ14" s="40" t="n">
        <x:f>SUM(AQ11:AQ13)</x:f>
        <x:v>30096.410870967742</x:v>
      </x:c>
      <x:c r="AR14" s="40" t="n">
        <x:f>SUM(AR11:AR13)</x:f>
        <x:v>28729.88325</x:v>
      </x:c>
      <x:c r="AS14" s="40" t="n">
        <x:f>SUM(AS11:AS13)</x:f>
        <x:v>28717.36712096774</x:v>
      </x:c>
      <x:c r="AT14" s="40" t="n">
        <x:f>SUM(AT11:AT13)</x:f>
        <x:v>28729.88325</x:v>
      </x:c>
      <x:c r="AU14" s="40" t="n">
        <x:f>SUM(AU11:AU13)</x:f>
        <x:v>30096.410870967742</x:v>
      </x:c>
      <x:c r="AV14" s="40" t="n">
        <x:f>SUM(AV11:AV13)</x:f>
        <x:v>31204.733120967743</x:v>
      </x:c>
      <x:c r="AW14" s="40" t="n">
        <x:f>SUM(AW11:AW13)</x:f>
        <x:v>31244.963535714283</x:v>
      </x:c>
      <x:c r="AX14" s="40" t="n">
        <x:f>SUM(AX11:AX13)</x:f>
        <x:v>29072.27762096774</x:v>
      </x:c>
      <x:c r="AY14" s="40" t="n">
        <x:f>SUM(AY11:AY13)</x:f>
        <x:v>28729.88325</x:v>
      </x:c>
      <x:c r="AZ14" s="40" t="n">
        <x:f>SUM(AZ11:AZ13)</x:f>
        <x:v>28717.36712096774</x:v>
      </x:c>
      <x:c r="BA14" s="40" t="n">
        <x:f>SUM(BA11:BA13)</x:f>
        <x:v>28729.88325</x:v>
      </x:c>
      <x:c r="BB14" s="40" t="n">
        <x:f>SUM(BB11:BB13)</x:f>
        <x:v>30096.410870967742</x:v>
      </x:c>
      <x:c r="BC14" s="40" t="n">
        <x:f>SUM(BC11:BC13)</x:f>
        <x:v>30096.410870967742</x:v>
      </x:c>
      <x:c r="BD14" s="40" t="n">
        <x:f>SUM(BD11:BD13)</x:f>
        <x:v>28729.88325</x:v>
      </x:c>
      <x:c r="BE14" s="40" t="n">
        <x:f>SUM(BE11:BE13)</x:f>
        <x:v>28717.36712096774</x:v>
      </x:c>
      <x:c r="BF14" s="40" t="n">
        <x:f>SUM(BF11:BF13)</x:f>
        <x:v>28729.88325</x:v>
      </x:c>
      <x:c r="BG14" s="40" t="n">
        <x:f>SUM(BG11:BG13)</x:f>
        <x:v>30096.410870967742</x:v>
      </x:c>
      <x:c r="BH14" s="40" t="n">
        <x:f>SUM(BH11:BH13)</x:f>
        <x:v>31204.733120967743</x:v>
      </x:c>
      <x:c r="BI14" s="40" t="n">
        <x:f>SUM(BI11:BI13)</x:f>
        <x:v>31244.963535714283</x:v>
      </x:c>
      <x:c r="BJ14" s="40" t="n">
        <x:f>SUM(BJ11:BJ13)</x:f>
        <x:v>29072.27762096774</x:v>
      </x:c>
    </x:row>
    <x:row r="15">
      <x:c r="A15" s="12" t="str">
        <x:v>純資産</x:v>
      </x:c>
      <x:c r="B15" s="12" t="str">
        <x:v>資本金・資本剰余金</x:v>
      </x:c>
      <x:c r="C15" s="40" t="n">
        <x:f>69960</x:f>
        <x:v>69960</x:v>
      </x:c>
      <x:c r="D15" s="40" t="n">
        <x:f>C15</x:f>
        <x:v>69960</x:v>
      </x:c>
      <x:c r="E15" s="40" t="n">
        <x:f>D15</x:f>
        <x:v>69960</x:v>
      </x:c>
      <x:c r="F15" s="40" t="n">
        <x:f>E15</x:f>
        <x:v>69960</x:v>
      </x:c>
      <x:c r="G15" s="40" t="n">
        <x:f>F15</x:f>
        <x:v>69960</x:v>
      </x:c>
      <x:c r="H15" s="40" t="n">
        <x:f>G15</x:f>
        <x:v>69960</x:v>
      </x:c>
      <x:c r="I15" s="40" t="n">
        <x:f>H15</x:f>
        <x:v>69960</x:v>
      </x:c>
      <x:c r="J15" s="40" t="n">
        <x:f>I15</x:f>
        <x:v>69960</x:v>
      </x:c>
      <x:c r="K15" s="40" t="n">
        <x:f>J15</x:f>
        <x:v>69960</x:v>
      </x:c>
      <x:c r="L15" s="40" t="n">
        <x:f>K15</x:f>
        <x:v>69960</x:v>
      </x:c>
      <x:c r="M15" s="40" t="n">
        <x:f>L15</x:f>
        <x:v>69960</x:v>
      </x:c>
      <x:c r="N15" s="40" t="n">
        <x:f>M15</x:f>
        <x:v>69960</x:v>
      </x:c>
      <x:c r="O15" s="40" t="n">
        <x:f>N15</x:f>
        <x:v>69960</x:v>
      </x:c>
      <x:c r="P15" s="40" t="n">
        <x:f>O15</x:f>
        <x:v>69960</x:v>
      </x:c>
      <x:c r="Q15" s="40" t="n">
        <x:f>P15</x:f>
        <x:v>69960</x:v>
      </x:c>
      <x:c r="R15" s="40" t="n">
        <x:f>Q15</x:f>
        <x:v>69960</x:v>
      </x:c>
      <x:c r="S15" s="40" t="n">
        <x:f>R15</x:f>
        <x:v>69960</x:v>
      </x:c>
      <x:c r="T15" s="40" t="n">
        <x:f>S15</x:f>
        <x:v>69960</x:v>
      </x:c>
      <x:c r="U15" s="40" t="n">
        <x:f>T15</x:f>
        <x:v>69960</x:v>
      </x:c>
      <x:c r="V15" s="40" t="n">
        <x:f>U15</x:f>
        <x:v>69960</x:v>
      </x:c>
      <x:c r="W15" s="40" t="n">
        <x:f>V15</x:f>
        <x:v>69960</x:v>
      </x:c>
      <x:c r="X15" s="40" t="n">
        <x:f>W15</x:f>
        <x:v>69960</x:v>
      </x:c>
      <x:c r="Y15" s="40" t="n">
        <x:f>X15</x:f>
        <x:v>69960</x:v>
      </x:c>
      <x:c r="Z15" s="40" t="n">
        <x:f>Y15</x:f>
        <x:v>69960</x:v>
      </x:c>
      <x:c r="AA15" s="40" t="n">
        <x:f>Z15</x:f>
        <x:v>69960</x:v>
      </x:c>
      <x:c r="AB15" s="40" t="n">
        <x:f>AA15</x:f>
        <x:v>69960</x:v>
      </x:c>
      <x:c r="AC15" s="40" t="n">
        <x:f>AB15</x:f>
        <x:v>69960</x:v>
      </x:c>
      <x:c r="AD15" s="40" t="n">
        <x:f>AC15</x:f>
        <x:v>69960</x:v>
      </x:c>
      <x:c r="AE15" s="40" t="n">
        <x:f>AD15</x:f>
        <x:v>69960</x:v>
      </x:c>
      <x:c r="AF15" s="40" t="n">
        <x:f>AE15</x:f>
        <x:v>69960</x:v>
      </x:c>
      <x:c r="AG15" s="40" t="n">
        <x:f>AF15</x:f>
        <x:v>69960</x:v>
      </x:c>
      <x:c r="AH15" s="40" t="n">
        <x:f>AG15</x:f>
        <x:v>69960</x:v>
      </x:c>
      <x:c r="AI15" s="40" t="n">
        <x:f>AH15</x:f>
        <x:v>69960</x:v>
      </x:c>
      <x:c r="AJ15" s="40" t="n">
        <x:f>AI15</x:f>
        <x:v>69960</x:v>
      </x:c>
      <x:c r="AK15" s="40" t="n">
        <x:f>AJ15</x:f>
        <x:v>69960</x:v>
      </x:c>
      <x:c r="AL15" s="40" t="n">
        <x:f>AK15</x:f>
        <x:v>69960</x:v>
      </x:c>
      <x:c r="AM15" s="40" t="n">
        <x:f>AL15</x:f>
        <x:v>69960</x:v>
      </x:c>
      <x:c r="AN15" s="40" t="n">
        <x:f>AM15</x:f>
        <x:v>69960</x:v>
      </x:c>
      <x:c r="AO15" s="40" t="n">
        <x:f>AN15</x:f>
        <x:v>69960</x:v>
      </x:c>
      <x:c r="AP15" s="40" t="n">
        <x:f>AO15</x:f>
        <x:v>69960</x:v>
      </x:c>
      <x:c r="AQ15" s="40" t="n">
        <x:f>AP15</x:f>
        <x:v>69960</x:v>
      </x:c>
      <x:c r="AR15" s="40" t="n">
        <x:f>AQ15</x:f>
        <x:v>69960</x:v>
      </x:c>
      <x:c r="AS15" s="40" t="n">
        <x:f>AR15</x:f>
        <x:v>69960</x:v>
      </x:c>
      <x:c r="AT15" s="40" t="n">
        <x:f>AS15</x:f>
        <x:v>69960</x:v>
      </x:c>
      <x:c r="AU15" s="40" t="n">
        <x:f>AT15</x:f>
        <x:v>69960</x:v>
      </x:c>
      <x:c r="AV15" s="40" t="n">
        <x:f>AU15</x:f>
        <x:v>69960</x:v>
      </x:c>
      <x:c r="AW15" s="40" t="n">
        <x:f>AV15</x:f>
        <x:v>69960</x:v>
      </x:c>
      <x:c r="AX15" s="40" t="n">
        <x:f>AW15</x:f>
        <x:v>69960</x:v>
      </x:c>
      <x:c r="AY15" s="40" t="n">
        <x:f>AX15</x:f>
        <x:v>69960</x:v>
      </x:c>
      <x:c r="AZ15" s="40" t="n">
        <x:f>AY15</x:f>
        <x:v>69960</x:v>
      </x:c>
      <x:c r="BA15" s="40" t="n">
        <x:f>AZ15</x:f>
        <x:v>69960</x:v>
      </x:c>
      <x:c r="BB15" s="40" t="n">
        <x:f>BA15</x:f>
        <x:v>69960</x:v>
      </x:c>
      <x:c r="BC15" s="40" t="n">
        <x:f>BB15</x:f>
        <x:v>69960</x:v>
      </x:c>
      <x:c r="BD15" s="40" t="n">
        <x:f>BC15</x:f>
        <x:v>69960</x:v>
      </x:c>
      <x:c r="BE15" s="40" t="n">
        <x:f>BD15</x:f>
        <x:v>69960</x:v>
      </x:c>
      <x:c r="BF15" s="40" t="n">
        <x:f>BE15</x:f>
        <x:v>69960</x:v>
      </x:c>
      <x:c r="BG15" s="40" t="n">
        <x:f>BF15</x:f>
        <x:v>69960</x:v>
      </x:c>
      <x:c r="BH15" s="40" t="n">
        <x:f>BG15</x:f>
        <x:v>69960</x:v>
      </x:c>
      <x:c r="BI15" s="40" t="n">
        <x:f>BH15</x:f>
        <x:v>69960</x:v>
      </x:c>
      <x:c r="BJ15" s="40" t="n">
        <x:f>BI15</x:f>
        <x:v>69960</x:v>
      </x:c>
    </x:row>
    <x:row r="16">
      <x:c r="A16" s="12" t="str">
        <x:v>純資産</x:v>
      </x:c>
      <x:c r="B16" s="12" t="str">
        <x:v>利益剰余金</x:v>
      </x:c>
      <x:c r="C16" s="40" t="n">
        <x:f>0+'06_PL'!C37-'01_入力ページ'!C57</x:f>
        <x:v>-557.2930833333332</x:v>
      </x:c>
      <x:c r="D16" s="40" t="n">
        <x:f>C16+'06_PL'!D37-'01_入力ページ'!D57</x:f>
        <x:v>-1104.9014916666665</x:v>
      </x:c>
      <x:c r="E16" s="40" t="n">
        <x:f>D16+'06_PL'!E37-'01_入力ページ'!E57</x:f>
        <x:v>-1662.1945749999998</x:v>
      </x:c>
      <x:c r="F16" s="40" t="n">
        <x:f>E16+'06_PL'!F37-'01_入力ページ'!F57</x:f>
        <x:v>-909.9536083333326</x:v>
      </x:c>
      <x:c r="G16" s="40" t="n">
        <x:f>F16+'06_PL'!G37-'01_入力ページ'!G57</x:f>
        <x:v>-157.71264166666538</x:v>
      </x:c>
      <x:c r="H16" s="40" t="n">
        <x:f>G16+'06_PL'!H37-'01_入力ページ'!H57</x:f>
        <x:v>-715.0057249999986</x:v>
      </x:c>
      <x:c r="I16" s="40" t="n">
        <x:f>H16+'06_PL'!I37-'01_入力ページ'!I57</x:f>
        <x:v>-1262.6141333333321</x:v>
      </x:c>
      <x:c r="J16" s="40" t="n">
        <x:f>I16+'06_PL'!J37-'01_入力ページ'!J57</x:f>
        <x:v>-1819.9072166666654</x:v>
      </x:c>
      <x:c r="K16" s="40" t="n">
        <x:f>J16+'06_PL'!K37-'01_入力ページ'!K57</x:f>
        <x:v>-1067.6662499999982</x:v>
      </x:c>
      <x:c r="L16" s="40" t="n">
        <x:f>K16+'06_PL'!L37-'01_入力ページ'!L57</x:f>
        <x:v>837.6747416666681</x:v>
      </x:c>
      <x:c r="M16" s="40" t="n">
        <x:f>L16+'06_PL'!M37-'01_入力ページ'!M57</x:f>
        <x:v>2476.579508333334</x:v>
      </x:c>
      <x:c r="N16" s="40" t="n">
        <x:f>M16+'06_PL'!N37-'01_入力ページ'!N57</x:f>
        <x:v>2217.610550000001</x:v>
      </x:c>
      <x:c r="O16" s="40" t="n">
        <x:f>N16+'06_PL'!O37-'01_入力ページ'!O57</x:f>
        <x:v>1660.3174666666675</x:v>
      </x:c>
      <x:c r="P16" s="40" t="n">
        <x:f>O16+'06_PL'!P37-'01_入力ページ'!P57</x:f>
        <x:v>1112.7090583333343</x:v>
      </x:c>
      <x:c r="Q16" s="40" t="n">
        <x:f>P16+'06_PL'!Q37-'01_入力ページ'!Q57</x:f>
        <x:v>555.415975000001</x:v>
      </x:c>
      <x:c r="R16" s="40" t="n">
        <x:f>Q16+'06_PL'!R37-'01_入力ページ'!R57</x:f>
        <x:v>1307.6569416666682</x:v>
      </x:c>
      <x:c r="S16" s="40" t="n">
        <x:f>R16+'06_PL'!S37-'01_入力ページ'!S57</x:f>
        <x:v>2059.897908333335</x:v>
      </x:c>
      <x:c r="T16" s="40" t="n">
        <x:f>S16+'06_PL'!T37-'01_入力ページ'!T57</x:f>
        <x:v>1502.604825000002</x:v>
      </x:c>
      <x:c r="U16" s="40" t="n">
        <x:f>T16+'06_PL'!U37-'01_入力ページ'!U57</x:f>
        <x:v>954.9964166666686</x:v>
      </x:c>
      <x:c r="V16" s="40" t="n">
        <x:f>U16+'06_PL'!V37-'01_入力ページ'!V57</x:f>
        <x:v>397.7033333333353</x:v>
      </x:c>
      <x:c r="W16" s="40" t="n">
        <x:f>V16+'06_PL'!W37-'01_入力ページ'!W57</x:f>
        <x:v>1149.9443000000024</x:v>
      </x:c>
      <x:c r="X16" s="40" t="n">
        <x:f>W16+'06_PL'!X37-'01_入力ページ'!X57</x:f>
        <x:v>3055.285291666669</x:v>
      </x:c>
      <x:c r="Y16" s="40" t="n">
        <x:f>X16+'06_PL'!Y37-'01_入力ページ'!Y57</x:f>
        <x:v>4783.002133333335</x:v>
      </x:c>
      <x:c r="Z16" s="40" t="n">
        <x:f>Y16+'06_PL'!Z37-'01_入力ページ'!Z57</x:f>
        <x:v>4524.033175000002</x:v>
      </x:c>
      <x:c r="AA16" s="40" t="n">
        <x:f>Z16+'06_PL'!AA37-'01_入力ページ'!AA57</x:f>
        <x:v>3966.7400916666693</x:v>
      </x:c>
      <x:c r="AB16" s="40" t="n">
        <x:f>AA16+'06_PL'!AB37-'01_入力ページ'!AB57</x:f>
        <x:v>3419.131683333336</x:v>
      </x:c>
      <x:c r="AC16" s="40" t="n">
        <x:f>AB16+'06_PL'!AC37-'01_入力ページ'!AC57</x:f>
        <x:v>2861.8386000000028</x:v>
      </x:c>
      <x:c r="AD16" s="40" t="n">
        <x:f>AC16+'06_PL'!AD37-'01_入力ページ'!AD57</x:f>
        <x:v>3614.07956666667</x:v>
      </x:c>
      <x:c r="AE16" s="40" t="n">
        <x:f>AD16+'06_PL'!AE37-'01_入力ページ'!AE57</x:f>
        <x:v>4366.320533333337</x:v>
      </x:c>
      <x:c r="AF16" s="40" t="n">
        <x:f>AE16+'06_PL'!AF37-'01_入力ページ'!AF57</x:f>
        <x:v>3809.027450000004</x:v>
      </x:c>
      <x:c r="AG16" s="40" t="n">
        <x:f>AF16+'06_PL'!AG37-'01_入力ページ'!AG57</x:f>
        <x:v>3261.4190416666706</x:v>
      </x:c>
      <x:c r="AH16" s="40" t="n">
        <x:f>AG16+'06_PL'!AH37-'01_入力ページ'!AH57</x:f>
        <x:v>2704.1259583333376</x:v>
      </x:c>
      <x:c r="AI16" s="40" t="n">
        <x:f>AH16+'06_PL'!AI37-'01_入力ページ'!AI57</x:f>
        <x:v>3456.366925000005</x:v>
      </x:c>
      <x:c r="AJ16" s="40" t="n">
        <x:f>AI16+'06_PL'!AJ37-'01_入力ページ'!AJ57</x:f>
        <x:v>5361.707916666671</x:v>
      </x:c>
      <x:c r="AK16" s="40" t="n">
        <x:f>AJ16+'06_PL'!AK37-'01_入力ページ'!AK57</x:f>
        <x:v>7000.6126833333365</x:v>
      </x:c>
      <x:c r="AL16" s="40" t="n">
        <x:f>AK16+'06_PL'!AL37-'01_入力ページ'!AL57</x:f>
        <x:v>6741.6437250000035</x:v>
      </x:c>
      <x:c r="AM16" s="40" t="n">
        <x:f>AL16+'06_PL'!AM37-'01_入力ページ'!AM57</x:f>
        <x:v>6184.3506416666705</x:v>
      </x:c>
      <x:c r="AN16" s="40" t="n">
        <x:f>AM16+'06_PL'!AN37-'01_入力ページ'!AN57</x:f>
        <x:v>5636.742233333337</x:v>
      </x:c>
      <x:c r="AO16" s="40" t="n">
        <x:f>AN16+'06_PL'!AO37-'01_入力ページ'!AO57</x:f>
        <x:v>5079.449150000004</x:v>
      </x:c>
      <x:c r="AP16" s="40" t="n">
        <x:f>AO16+'06_PL'!AP37-'01_入力ページ'!AP57</x:f>
        <x:v>5831.690116666671</x:v>
      </x:c>
      <x:c r="AQ16" s="40" t="n">
        <x:f>AP16+'06_PL'!AQ37-'01_入力ページ'!AQ57</x:f>
        <x:v>6583.931083333338</x:v>
      </x:c>
      <x:c r="AR16" s="40" t="n">
        <x:f>AQ16+'06_PL'!AR37-'01_入力ページ'!AR57</x:f>
        <x:v>6026.638000000005</x:v>
      </x:c>
      <x:c r="AS16" s="40" t="n">
        <x:f>AR16+'06_PL'!AS37-'01_入力ページ'!AS57</x:f>
        <x:v>5479.029591666672</x:v>
      </x:c>
      <x:c r="AT16" s="40" t="n">
        <x:f>AS16+'06_PL'!AT37-'01_入力ページ'!AT57</x:f>
        <x:v>4921.736508333339</x:v>
      </x:c>
      <x:c r="AU16" s="40" t="n">
        <x:f>AT16+'06_PL'!AU37-'01_入力ページ'!AU57</x:f>
        <x:v>5673.977475000006</x:v>
      </x:c>
      <x:c r="AV16" s="40" t="n">
        <x:f>AU16+'06_PL'!AV37-'01_入力ページ'!AV57</x:f>
        <x:v>7579.318466666672</x:v>
      </x:c>
      <x:c r="AW16" s="40" t="n">
        <x:f>AV16+'06_PL'!AW37-'01_入力ページ'!AW57</x:f>
        <x:v>9218.223233333338</x:v>
      </x:c>
      <x:c r="AX16" s="40" t="n">
        <x:f>AW16+'06_PL'!AX37-'01_入力ページ'!AX57</x:f>
        <x:v>8959.254275000005</x:v>
      </x:c>
      <x:c r="AY16" s="40" t="n">
        <x:f>AX16+'06_PL'!AY37-'01_入力ページ'!AY57</x:f>
        <x:v>8401.96119166667</x:v>
      </x:c>
      <x:c r="AZ16" s="40" t="n">
        <x:f>AY16+'06_PL'!AZ37-'01_入力ページ'!AZ57</x:f>
        <x:v>7854.352783333337</x:v>
      </x:c>
      <x:c r="BA16" s="40" t="n">
        <x:f>AZ16+'06_PL'!BA37-'01_入力ページ'!BA57</x:f>
        <x:v>7297.059700000004</x:v>
      </x:c>
      <x:c r="BB16" s="40" t="n">
        <x:f>BA16+'06_PL'!BB37-'01_入力ページ'!BB57</x:f>
        <x:v>8049.3006666666715</x:v>
      </x:c>
      <x:c r="BC16" s="40" t="n">
        <x:f>BB16+'06_PL'!BC37-'01_入力ページ'!BC57</x:f>
        <x:v>8801.541633333338</x:v>
      </x:c>
      <x:c r="BD16" s="40" t="n">
        <x:f>BC16+'06_PL'!BD37-'01_入力ページ'!BD57</x:f>
        <x:v>8244.248550000004</x:v>
      </x:c>
      <x:c r="BE16" s="40" t="n">
        <x:f>BD16+'06_PL'!BE37-'01_入力ページ'!BE57</x:f>
        <x:v>7696.64014166667</x:v>
      </x:c>
      <x:c r="BF16" s="40" t="n">
        <x:f>BE16+'06_PL'!BF37-'01_入力ページ'!BF57</x:f>
        <x:v>7139.347058333337</x:v>
      </x:c>
      <x:c r="BG16" s="40" t="n">
        <x:f>BF16+'06_PL'!BG37-'01_入力ページ'!BG57</x:f>
        <x:v>7891.588025000005</x:v>
      </x:c>
      <x:c r="BH16" s="40" t="n">
        <x:f>BG16+'06_PL'!BH37-'01_入力ページ'!BH57</x:f>
        <x:v>9796.92901666667</x:v>
      </x:c>
      <x:c r="BI16" s="40" t="n">
        <x:f>BH16+'06_PL'!BI37-'01_入力ページ'!BI57</x:f>
        <x:v>11435.833783333337</x:v>
      </x:c>
      <x:c r="BJ16" s="40" t="n">
        <x:f>BI16+'06_PL'!BJ37-'01_入力ページ'!BJ57</x:f>
        <x:v>11176.864825000004</x:v>
      </x:c>
    </x:row>
    <x:row r="17">
      <x:c r="A17" s="12" t="str">
        <x:v>純資産</x:v>
      </x:c>
      <x:c r="B17" s="12" t="str">
        <x:v>純資産合計</x:v>
      </x:c>
      <x:c r="C17" s="40" t="n">
        <x:f>IF('01_入力ページ'!C53&lt;&gt;"",'01_入力ページ'!C53,SUM(C15:C16))</x:f>
        <x:v>69402.70691666666</x:v>
      </x:c>
      <x:c r="D17" s="40" t="n">
        <x:f>IF('01_入力ページ'!D53&lt;&gt;"",'01_入力ページ'!D53,SUM(D15:D16))</x:f>
        <x:v>68855.09850833334</x:v>
      </x:c>
      <x:c r="E17" s="40" t="n">
        <x:f>IF('01_入力ページ'!E53&lt;&gt;"",'01_入力ページ'!E53,SUM(E15:E16))</x:f>
        <x:v>68297.805425</x:v>
      </x:c>
      <x:c r="F17" s="40" t="n">
        <x:f>IF('01_入力ページ'!F53&lt;&gt;"",'01_入力ページ'!F53,SUM(F15:F16))</x:f>
        <x:v>69050.04639166666</x:v>
      </x:c>
      <x:c r="G17" s="40" t="n">
        <x:f>IF('01_入力ページ'!G53&lt;&gt;"",'01_入力ページ'!G53,SUM(G15:G16))</x:f>
        <x:v>69802.28735833333</x:v>
      </x:c>
      <x:c r="H17" s="40" t="n">
        <x:f>IF('01_入力ページ'!H53&lt;&gt;"",'01_入力ページ'!H53,SUM(H15:H16))</x:f>
        <x:v>69244.994275</x:v>
      </x:c>
      <x:c r="I17" s="40" t="n">
        <x:f>IF('01_入力ページ'!I53&lt;&gt;"",'01_入力ページ'!I53,SUM(I15:I16))</x:f>
        <x:v>68697.38586666666</x:v>
      </x:c>
      <x:c r="J17" s="40" t="n">
        <x:f>IF('01_入力ページ'!J53&lt;&gt;"",'01_入力ページ'!J53,SUM(J15:J16))</x:f>
        <x:v>68140.09278333334</x:v>
      </x:c>
      <x:c r="K17" s="40" t="n">
        <x:f>IF('01_入力ページ'!K53&lt;&gt;"",'01_入力ページ'!K53,SUM(K15:K16))</x:f>
        <x:v>68892.33375</x:v>
      </x:c>
      <x:c r="L17" s="40" t="n">
        <x:f>IF('01_入力ページ'!L53&lt;&gt;"",'01_入力ページ'!L53,SUM(L15:L16))</x:f>
        <x:v>70797.67474166666</x:v>
      </x:c>
      <x:c r="M17" s="40" t="n">
        <x:f>IF('01_入力ページ'!M53&lt;&gt;"",'01_入力ページ'!M53,SUM(M15:M16))</x:f>
        <x:v>72436.57950833334</x:v>
      </x:c>
      <x:c r="N17" s="40" t="n">
        <x:f>IF('01_入力ページ'!N53&lt;&gt;"",'01_入力ページ'!N53,SUM(N15:N16))</x:f>
        <x:v>72177.61055</x:v>
      </x:c>
      <x:c r="O17" s="40" t="n">
        <x:f>IF('01_入力ページ'!O53&lt;&gt;"",'01_入力ページ'!O53,SUM(O15:O16))</x:f>
        <x:v>71620.31746666667</x:v>
      </x:c>
      <x:c r="P17" s="40" t="n">
        <x:f>IF('01_入力ページ'!P53&lt;&gt;"",'01_入力ページ'!P53,SUM(P15:P16))</x:f>
        <x:v>71072.70905833333</x:v>
      </x:c>
      <x:c r="Q17" s="40" t="n">
        <x:f>IF('01_入力ページ'!Q53&lt;&gt;"",'01_入力ページ'!Q53,SUM(Q15:Q16))</x:f>
        <x:v>70515.415975</x:v>
      </x:c>
      <x:c r="R17" s="40" t="n">
        <x:f>IF('01_入力ページ'!R53&lt;&gt;"",'01_入力ページ'!R53,SUM(R15:R16))</x:f>
        <x:v>71267.65694166668</x:v>
      </x:c>
      <x:c r="S17" s="40" t="n">
        <x:f>IF('01_入力ページ'!S53&lt;&gt;"",'01_入力ページ'!S53,SUM(S15:S16))</x:f>
        <x:v>72019.89790833334</x:v>
      </x:c>
      <x:c r="T17" s="40" t="n">
        <x:f>IF('01_入力ページ'!T53&lt;&gt;"",'01_入力ページ'!T53,SUM(T15:T16))</x:f>
        <x:v>71462.604825</x:v>
      </x:c>
      <x:c r="U17" s="40" t="n">
        <x:f>IF('01_入力ページ'!U53&lt;&gt;"",'01_入力ページ'!U53,SUM(U15:U16))</x:f>
        <x:v>70914.99641666666</x:v>
      </x:c>
      <x:c r="V17" s="40" t="n">
        <x:f>IF('01_入力ページ'!V53&lt;&gt;"",'01_入力ページ'!V53,SUM(V15:V16))</x:f>
        <x:v>70357.70333333334</x:v>
      </x:c>
      <x:c r="W17" s="40" t="n">
        <x:f>IF('01_入力ページ'!W53&lt;&gt;"",'01_入力ページ'!W53,SUM(W15:W16))</x:f>
        <x:v>71109.9443</x:v>
      </x:c>
      <x:c r="X17" s="40" t="n">
        <x:f>IF('01_入力ページ'!X53&lt;&gt;"",'01_入力ページ'!X53,SUM(X15:X16))</x:f>
        <x:v>73015.28529166667</x:v>
      </x:c>
      <x:c r="Y17" s="40" t="n">
        <x:f>IF('01_入力ページ'!Y53&lt;&gt;"",'01_入力ページ'!Y53,SUM(Y15:Y16))</x:f>
        <x:v>74743.00213333333</x:v>
      </x:c>
      <x:c r="Z17" s="40" t="n">
        <x:f>IF('01_入力ページ'!Z53&lt;&gt;"",'01_入力ページ'!Z53,SUM(Z15:Z16))</x:f>
        <x:v>74484.033175</x:v>
      </x:c>
      <x:c r="AA17" s="40" t="n">
        <x:f>IF('01_入力ページ'!AA53&lt;&gt;"",'01_入力ページ'!AA53,SUM(AA15:AA16))</x:f>
        <x:v>73926.74009166667</x:v>
      </x:c>
      <x:c r="AB17" s="40" t="n">
        <x:f>IF('01_入力ページ'!AB53&lt;&gt;"",'01_入力ページ'!AB53,SUM(AB15:AB16))</x:f>
        <x:v>73379.13168333334</x:v>
      </x:c>
      <x:c r="AC17" s="40" t="n">
        <x:f>IF('01_入力ページ'!AC53&lt;&gt;"",'01_入力ページ'!AC53,SUM(AC15:AC16))</x:f>
        <x:v>72821.8386</x:v>
      </x:c>
      <x:c r="AD17" s="40" t="n">
        <x:f>IF('01_入力ページ'!AD53&lt;&gt;"",'01_入力ページ'!AD53,SUM(AD15:AD16))</x:f>
        <x:v>73574.07956666667</x:v>
      </x:c>
      <x:c r="AE17" s="40" t="n">
        <x:f>IF('01_入力ページ'!AE53&lt;&gt;"",'01_入力ページ'!AE53,SUM(AE15:AE16))</x:f>
        <x:v>74326.32053333333</x:v>
      </x:c>
      <x:c r="AF17" s="40" t="n">
        <x:f>IF('01_入力ページ'!AF53&lt;&gt;"",'01_入力ページ'!AF53,SUM(AF15:AF16))</x:f>
        <x:v>73769.02745000001</x:v>
      </x:c>
      <x:c r="AG17" s="40" t="n">
        <x:f>IF('01_入力ページ'!AG53&lt;&gt;"",'01_入力ページ'!AG53,SUM(AG15:AG16))</x:f>
        <x:v>73221.41904166667</x:v>
      </x:c>
      <x:c r="AH17" s="40" t="n">
        <x:f>IF('01_入力ページ'!AH53&lt;&gt;"",'01_入力ページ'!AH53,SUM(AH15:AH16))</x:f>
        <x:v>72664.12595833334</x:v>
      </x:c>
      <x:c r="AI17" s="40" t="n">
        <x:f>IF('01_入力ページ'!AI53&lt;&gt;"",'01_入力ページ'!AI53,SUM(AI15:AI16))</x:f>
        <x:v>73416.36692500001</x:v>
      </x:c>
      <x:c r="AJ17" s="40" t="n">
        <x:f>IF('01_入力ページ'!AJ53&lt;&gt;"",'01_入力ページ'!AJ53,SUM(AJ15:AJ16))</x:f>
        <x:v>75321.70791666667</x:v>
      </x:c>
      <x:c r="AK17" s="40" t="n">
        <x:f>IF('01_入力ページ'!AK53&lt;&gt;"",'01_入力ページ'!AK53,SUM(AK15:AK16))</x:f>
        <x:v>76960.61268333334</x:v>
      </x:c>
      <x:c r="AL17" s="40" t="n">
        <x:f>IF('01_入力ページ'!AL53&lt;&gt;"",'01_入力ページ'!AL53,SUM(AL15:AL16))</x:f>
        <x:v>76701.643725</x:v>
      </x:c>
      <x:c r="AM17" s="40" t="n">
        <x:f>IF('01_入力ページ'!AM53&lt;&gt;"",'01_入力ページ'!AM53,SUM(AM15:AM16))</x:f>
        <x:v>76144.35064166666</x:v>
      </x:c>
      <x:c r="AN17" s="40" t="n">
        <x:f>IF('01_入力ページ'!AN53&lt;&gt;"",'01_入力ページ'!AN53,SUM(AN15:AN16))</x:f>
        <x:v>75596.74223333334</x:v>
      </x:c>
      <x:c r="AO17" s="40" t="n">
        <x:f>IF('01_入力ページ'!AO53&lt;&gt;"",'01_入力ページ'!AO53,SUM(AO15:AO16))</x:f>
        <x:v>75039.44915</x:v>
      </x:c>
      <x:c r="AP17" s="40" t="n">
        <x:f>IF('01_入力ページ'!AP53&lt;&gt;"",'01_入力ページ'!AP53,SUM(AP15:AP16))</x:f>
        <x:v>75791.69011666666</x:v>
      </x:c>
      <x:c r="AQ17" s="40" t="n">
        <x:f>IF('01_入力ページ'!AQ53&lt;&gt;"",'01_入力ページ'!AQ53,SUM(AQ15:AQ16))</x:f>
        <x:v>76543.93108333334</x:v>
      </x:c>
      <x:c r="AR17" s="40" t="n">
        <x:f>IF('01_入力ページ'!AR53&lt;&gt;"",'01_入力ページ'!AR53,SUM(AR15:AR16))</x:f>
        <x:v>75986.638</x:v>
      </x:c>
      <x:c r="AS17" s="40" t="n">
        <x:f>IF('01_入力ページ'!AS53&lt;&gt;"",'01_入力ページ'!AS53,SUM(AS15:AS16))</x:f>
        <x:v>75439.02959166667</x:v>
      </x:c>
      <x:c r="AT17" s="40" t="n">
        <x:f>IF('01_入力ページ'!AT53&lt;&gt;"",'01_入力ページ'!AT53,SUM(AT15:AT16))</x:f>
        <x:v>74881.73650833334</x:v>
      </x:c>
      <x:c r="AU17" s="40" t="n">
        <x:f>IF('01_入力ページ'!AU53&lt;&gt;"",'01_入力ページ'!AU53,SUM(AU15:AU16))</x:f>
        <x:v>75633.977475</x:v>
      </x:c>
      <x:c r="AV17" s="40" t="n">
        <x:f>IF('01_入力ページ'!AV53&lt;&gt;"",'01_入力ページ'!AV53,SUM(AV15:AV16))</x:f>
        <x:v>77539.31846666668</x:v>
      </x:c>
      <x:c r="AW17" s="40" t="n">
        <x:f>IF('01_入力ページ'!AW53&lt;&gt;"",'01_入力ページ'!AW53,SUM(AW15:AW16))</x:f>
        <x:v>79178.22323333334</x:v>
      </x:c>
      <x:c r="AX17" s="40" t="n">
        <x:f>IF('01_入力ページ'!AX53&lt;&gt;"",'01_入力ページ'!AX53,SUM(AX15:AX16))</x:f>
        <x:v>78919.254275</x:v>
      </x:c>
      <x:c r="AY17" s="40" t="n">
        <x:f>IF('01_入力ページ'!AY53&lt;&gt;"",'01_入力ページ'!AY53,SUM(AY15:AY16))</x:f>
        <x:v>78361.96119166668</x:v>
      </x:c>
      <x:c r="AZ17" s="40" t="n">
        <x:f>IF('01_入力ページ'!AZ53&lt;&gt;"",'01_入力ページ'!AZ53,SUM(AZ15:AZ16))</x:f>
        <x:v>77814.35278333334</x:v>
      </x:c>
      <x:c r="BA17" s="40" t="n">
        <x:f>IF('01_入力ページ'!BA53&lt;&gt;"",'01_入力ページ'!BA53,SUM(BA15:BA16))</x:f>
        <x:v>77257.0597</x:v>
      </x:c>
      <x:c r="BB17" s="40" t="n">
        <x:f>IF('01_入力ページ'!BB53&lt;&gt;"",'01_入力ページ'!BB53,SUM(BB15:BB16))</x:f>
        <x:v>78009.30066666668</x:v>
      </x:c>
      <x:c r="BC17" s="40" t="n">
        <x:f>IF('01_入力ページ'!BC53&lt;&gt;"",'01_入力ページ'!BC53,SUM(BC15:BC16))</x:f>
        <x:v>78761.54163333334</x:v>
      </x:c>
      <x:c r="BD17" s="40" t="n">
        <x:f>IF('01_入力ページ'!BD53&lt;&gt;"",'01_入力ページ'!BD53,SUM(BD15:BD16))</x:f>
        <x:v>78204.24855</x:v>
      </x:c>
      <x:c r="BE17" s="40" t="n">
        <x:f>IF('01_入力ページ'!BE53&lt;&gt;"",'01_入力ページ'!BE53,SUM(BE15:BE16))</x:f>
        <x:v>77656.64014166666</x:v>
      </x:c>
      <x:c r="BF17" s="40" t="n">
        <x:f>IF('01_入力ページ'!BF53&lt;&gt;"",'01_入力ページ'!BF53,SUM(BF15:BF16))</x:f>
        <x:v>77099.34705833334</x:v>
      </x:c>
      <x:c r="BG17" s="40" t="n">
        <x:f>IF('01_入力ページ'!BG53&lt;&gt;"",'01_入力ページ'!BG53,SUM(BG15:BG16))</x:f>
        <x:v>77851.588025</x:v>
      </x:c>
      <x:c r="BH17" s="40" t="n">
        <x:f>IF('01_入力ページ'!BH53&lt;&gt;"",'01_入力ページ'!BH53,SUM(BH15:BH16))</x:f>
        <x:v>79756.92901666668</x:v>
      </x:c>
      <x:c r="BI17" s="40" t="n">
        <x:f>IF('01_入力ページ'!BI53&lt;&gt;"",'01_入力ページ'!BI53,SUM(BI15:BI16))</x:f>
        <x:v>81395.83378333334</x:v>
      </x:c>
      <x:c r="BJ17" s="40" t="n">
        <x:f>IF('01_入力ページ'!BJ53&lt;&gt;"",'01_入力ページ'!BJ53,SUM(BJ15:BJ16))</x:f>
        <x:v>81136.864825</x:v>
      </x:c>
    </x:row>
    <x:row r="18">
      <x:c r="A18" s="12" t="str">
        <x:v>チェック</x:v>
      </x:c>
      <x:c r="B18" s="12" t="str">
        <x:v>負債純資産合計</x:v>
      </x:c>
      <x:c r="C18" s="40" t="n">
        <x:f>SUM(C14,C17)</x:f>
        <x:v>98132.59016666666</x:v>
      </x:c>
      <x:c r="D18" s="40" t="n">
        <x:f>SUM(D14,D17)</x:f>
        <x:v>97572.46562930108</x:v>
      </x:c>
      <x:c r="E18" s="40" t="n">
        <x:f>SUM(E14,E17)</x:f>
        <x:v>97027.688675</x:v>
      </x:c>
      <x:c r="F18" s="40" t="n">
        <x:f>SUM(F14,F17)</x:f>
        <x:v>99146.4572626344</x:v>
      </x:c>
      <x:c r="G18" s="40" t="n">
        <x:f>SUM(G14,G17)</x:f>
        <x:v>99898.69822930107</x:v>
      </x:c>
      <x:c r="H18" s="40" t="n">
        <x:f>SUM(H14,H17)</x:f>
        <x:v>97974.877525</x:v>
      </x:c>
      <x:c r="I18" s="40" t="n">
        <x:f>SUM(I14,I17)</x:f>
        <x:v>97414.7529876344</x:v>
      </x:c>
      <x:c r="J18" s="40" t="n">
        <x:f>SUM(J14,J17)</x:f>
        <x:v>96869.97603333334</x:v>
      </x:c>
      <x:c r="K18" s="40" t="n">
        <x:f>SUM(K14,K17)</x:f>
        <x:v>98988.74462096774</x:v>
      </x:c>
      <x:c r="L18" s="40" t="n">
        <x:f>SUM(L14,L17)</x:f>
        <x:v>102002.4078626344</x:v>
      </x:c>
      <x:c r="M18" s="40" t="n">
        <x:f>SUM(M14,M17)</x:f>
        <x:v>103681.54304404762</x:v>
      </x:c>
      <x:c r="N18" s="40" t="n">
        <x:f>SUM(N14,N17)</x:f>
        <x:v>101249.88817096774</x:v>
      </x:c>
      <x:c r="O18" s="40" t="n">
        <x:f>SUM(O14,O17)</x:f>
        <x:v>100350.20071666667</x:v>
      </x:c>
      <x:c r="P18" s="40" t="n">
        <x:f>SUM(P14,P17)</x:f>
        <x:v>99790.07617930108</x:v>
      </x:c>
      <x:c r="Q18" s="40" t="n">
        <x:f>SUM(Q14,Q17)</x:f>
        <x:v>99245.299225</x:v>
      </x:c>
      <x:c r="R18" s="40" t="n">
        <x:f>SUM(R14,R17)</x:f>
        <x:v>101364.06781263441</x:v>
      </x:c>
      <x:c r="S18" s="40" t="n">
        <x:f>SUM(S14,S17)</x:f>
        <x:v>102116.30877930108</x:v>
      </x:c>
      <x:c r="T18" s="40" t="n">
        <x:f>SUM(T14,T17)</x:f>
        <x:v>100192.488075</x:v>
      </x:c>
      <x:c r="U18" s="40" t="n">
        <x:f>SUM(U14,U17)</x:f>
        <x:v>99632.3635376344</x:v>
      </x:c>
      <x:c r="V18" s="40" t="n">
        <x:f>SUM(V14,V17)</x:f>
        <x:v>99087.58658333334</x:v>
      </x:c>
      <x:c r="W18" s="40" t="n">
        <x:f>SUM(W14,W17)</x:f>
        <x:v>101206.35517096774</x:v>
      </x:c>
      <x:c r="X18" s="40" t="n">
        <x:f>SUM(X14,X17)</x:f>
        <x:v>104220.01841263441</x:v>
      </x:c>
      <x:c r="Y18" s="40" t="n">
        <x:f>SUM(Y14,Y17)</x:f>
        <x:v>105973.63069367816</x:v>
      </x:c>
      <x:c r="Z18" s="40" t="n">
        <x:f>SUM(Z14,Z17)</x:f>
        <x:v>103556.31079596774</x:v>
      </x:c>
      <x:c r="AA18" s="40" t="n">
        <x:f>SUM(AA14,AA17)</x:f>
        <x:v>102656.62334166667</x:v>
      </x:c>
      <x:c r="AB18" s="40" t="n">
        <x:f>SUM(AB14,AB17)</x:f>
        <x:v>102096.49880430108</x:v>
      </x:c>
      <x:c r="AC18" s="40" t="n">
        <x:f>SUM(AC14,AC17)</x:f>
        <x:v>101551.72185</x:v>
      </x:c>
      <x:c r="AD18" s="40" t="n">
        <x:f>SUM(AD14,AD17)</x:f>
        <x:v>103670.4904376344</x:v>
      </x:c>
      <x:c r="AE18" s="40" t="n">
        <x:f>SUM(AE14,AE17)</x:f>
        <x:v>104422.73140430107</x:v>
      </x:c>
      <x:c r="AF18" s="40" t="n">
        <x:f>SUM(AF14,AF17)</x:f>
        <x:v>102498.91070000001</x:v>
      </x:c>
      <x:c r="AG18" s="40" t="n">
        <x:f>SUM(AG14,AG17)</x:f>
        <x:v>101938.78616263441</x:v>
      </x:c>
      <x:c r="AH18" s="40" t="n">
        <x:f>SUM(AH14,AH17)</x:f>
        <x:v>101394.00920833334</x:v>
      </x:c>
      <x:c r="AI18" s="40" t="n">
        <x:f>SUM(AI14,AI17)</x:f>
        <x:v>103512.77779596775</x:v>
      </x:c>
      <x:c r="AJ18" s="40" t="n">
        <x:f>SUM(AJ14,AJ17)</x:f>
        <x:v>106526.44103763442</x:v>
      </x:c>
      <x:c r="AK18" s="40" t="n">
        <x:f>SUM(AK14,AK17)</x:f>
        <x:v>108205.57621904762</x:v>
      </x:c>
      <x:c r="AL18" s="40" t="n">
        <x:f>SUM(AL14,AL17)</x:f>
        <x:v>105773.92134596774</x:v>
      </x:c>
      <x:c r="AM18" s="40" t="n">
        <x:f>SUM(AM14,AM17)</x:f>
        <x:v>104874.23389166666</x:v>
      </x:c>
      <x:c r="AN18" s="40" t="n">
        <x:f>SUM(AN14,AN17)</x:f>
        <x:v>104314.10935430108</x:v>
      </x:c>
      <x:c r="AO18" s="40" t="n">
        <x:f>SUM(AO14,AO17)</x:f>
        <x:v>103769.3324</x:v>
      </x:c>
      <x:c r="AP18" s="40" t="n">
        <x:f>SUM(AP14,AP17)</x:f>
        <x:v>105888.1009876344</x:v>
      </x:c>
      <x:c r="AQ18" s="40" t="n">
        <x:f>SUM(AQ14,AQ17)</x:f>
        <x:v>106640.34195430108</x:v>
      </x:c>
      <x:c r="AR18" s="40" t="n">
        <x:f>SUM(AR14,AR17)</x:f>
        <x:v>104716.52125</x:v>
      </x:c>
      <x:c r="AS18" s="40" t="n">
        <x:f>SUM(AS14,AS17)</x:f>
        <x:v>104156.3967126344</x:v>
      </x:c>
      <x:c r="AT18" s="40" t="n">
        <x:f>SUM(AT14,AT17)</x:f>
        <x:v>103611.61975833334</x:v>
      </x:c>
      <x:c r="AU18" s="40" t="n">
        <x:f>SUM(AU14,AU17)</x:f>
        <x:v>105730.38834596775</x:v>
      </x:c>
      <x:c r="AV18" s="40" t="n">
        <x:f>SUM(AV14,AV17)</x:f>
        <x:v>108744.05158763443</x:v>
      </x:c>
      <x:c r="AW18" s="40" t="n">
        <x:f>SUM(AW14,AW17)</x:f>
        <x:v>110423.18676904762</x:v>
      </x:c>
      <x:c r="AX18" s="40" t="n">
        <x:f>SUM(AX14,AX17)</x:f>
        <x:v>107991.53189596774</x:v>
      </x:c>
      <x:c r="AY18" s="40" t="n">
        <x:f>SUM(AY14,AY17)</x:f>
        <x:v>107091.84444166668</x:v>
      </x:c>
      <x:c r="AZ18" s="40" t="n">
        <x:f>SUM(AZ14,AZ17)</x:f>
        <x:v>106531.71990430108</x:v>
      </x:c>
      <x:c r="BA18" s="40" t="n">
        <x:f>SUM(BA14,BA17)</x:f>
        <x:v>105986.94295</x:v>
      </x:c>
      <x:c r="BB18" s="40" t="n">
        <x:f>SUM(BB14,BB17)</x:f>
        <x:v>108105.71153763442</x:v>
      </x:c>
      <x:c r="BC18" s="40" t="n">
        <x:f>SUM(BC14,BC17)</x:f>
        <x:v>108857.95250430108</x:v>
      </x:c>
      <x:c r="BD18" s="40" t="n">
        <x:f>SUM(BD14,BD17)</x:f>
        <x:v>106934.1318</x:v>
      </x:c>
      <x:c r="BE18" s="40" t="n">
        <x:f>SUM(BE14,BE17)</x:f>
        <x:v>106374.0072626344</x:v>
      </x:c>
      <x:c r="BF18" s="40" t="n">
        <x:f>SUM(BF14,BF17)</x:f>
        <x:v>105829.23030833334</x:v>
      </x:c>
      <x:c r="BG18" s="40" t="n">
        <x:f>SUM(BG14,BG17)</x:f>
        <x:v>107947.99889596774</x:v>
      </x:c>
      <x:c r="BH18" s="40" t="n">
        <x:f>SUM(BH14,BH17)</x:f>
        <x:v>110961.66213763441</x:v>
      </x:c>
      <x:c r="BI18" s="40" t="n">
        <x:f>SUM(BI14,BI17)</x:f>
        <x:v>112640.79731904762</x:v>
      </x:c>
      <x:c r="BJ18" s="40" t="n">
        <x:f>SUM(BJ14,BJ17)</x:f>
        <x:v>110209.14244596774</x:v>
      </x:c>
    </x:row>
    <x:row r="19">
      <x:c r="A19" s="12" t="str">
        <x:v>チェック</x:v>
      </x:c>
      <x:c r="B19" s="12" t="str">
        <x:v>BSバランスチェック</x:v>
      </x:c>
      <x:c r="C19" s="40" t="n">
        <x:f>C10-C18</x:f>
        <x:v>0</x:v>
      </x:c>
      <x:c r="D19" s="40" t="n">
        <x:f>D10-D18</x:f>
        <x:v>0</x:v>
      </x:c>
      <x:c r="E19" s="40" t="n">
        <x:f>E10-E18</x:f>
        <x:v>0</x:v>
      </x:c>
      <x:c r="F19" s="40" t="n">
        <x:f>F10-F18</x:f>
        <x:v>1.4551915228366852e-11</x:v>
      </x:c>
      <x:c r="G19" s="40" t="n">
        <x:f>G10-G18</x:f>
        <x:v>1.4551915228366852e-11</x:v>
      </x:c>
      <x:c r="H19" s="40" t="n">
        <x:f>H10-H18</x:f>
        <x:v>0</x:v>
      </x:c>
      <x:c r="I19" s="40" t="n">
        <x:f>I10-I18</x:f>
        <x:v>1.4551915228366852e-11</x:v>
      </x:c>
      <x:c r="J19" s="40" t="n">
        <x:f>J10-J18</x:f>
        <x:v>0</x:v>
      </x:c>
      <x:c r="K19" s="40" t="n">
        <x:f>K10-K18</x:f>
        <x:v>0</x:v>
      </x:c>
      <x:c r="L19" s="40" t="n">
        <x:f>L10-L18</x:f>
        <x:v>0</x:v>
      </x:c>
      <x:c r="M19" s="40" t="n">
        <x:f>M10-M18</x:f>
        <x:v>0</x:v>
      </x:c>
      <x:c r="N19" s="40" t="n">
        <x:f>N10-N18</x:f>
        <x:v>1.4551915228366852e-11</x:v>
      </x:c>
      <x:c r="O19" s="40" t="n">
        <x:f>O10-O18</x:f>
        <x:v>0</x:v>
      </x:c>
      <x:c r="P19" s="40" t="n">
        <x:f>P10-P18</x:f>
        <x:v>0</x:v>
      </x:c>
      <x:c r="Q19" s="40" t="n">
        <x:f>Q10-Q18</x:f>
        <x:v>0</x:v>
      </x:c>
      <x:c r="R19" s="40" t="n">
        <x:f>R10-R18</x:f>
        <x:v>0</x:v>
      </x:c>
      <x:c r="S19" s="40" t="n">
        <x:f>S10-S18</x:f>
        <x:v>0</x:v>
      </x:c>
      <x:c r="T19" s="40" t="n">
        <x:f>T10-T18</x:f>
        <x:v>0</x:v>
      </x:c>
      <x:c r="U19" s="40" t="n">
        <x:f>U10-U18</x:f>
        <x:v>0</x:v>
      </x:c>
      <x:c r="V19" s="40" t="n">
        <x:f>V10-V18</x:f>
        <x:v>0</x:v>
      </x:c>
      <x:c r="W19" s="40" t="n">
        <x:f>W10-W18</x:f>
        <x:v>1.4551915228366852e-11</x:v>
      </x:c>
      <x:c r="X19" s="40" t="n">
        <x:f>X10-X18</x:f>
        <x:v>0</x:v>
      </x:c>
      <x:c r="Y19" s="40" t="n">
        <x:f>Y10-Y18</x:f>
        <x:v>0</x:v>
      </x:c>
      <x:c r="Z19" s="40" t="n">
        <x:f>Z10-Z18</x:f>
        <x:v>0</x:v>
      </x:c>
      <x:c r="AA19" s="40" t="n">
        <x:f>AA10-AA18</x:f>
        <x:v>0</x:v>
      </x:c>
      <x:c r="AB19" s="40" t="n">
        <x:f>AB10-AB18</x:f>
        <x:v>0</x:v>
      </x:c>
      <x:c r="AC19" s="40" t="n">
        <x:f>AC10-AC18</x:f>
        <x:v>0</x:v>
      </x:c>
      <x:c r="AD19" s="40" t="n">
        <x:f>AD10-AD18</x:f>
        <x:v>0</x:v>
      </x:c>
      <x:c r="AE19" s="40" t="n">
        <x:f>AE10-AE18</x:f>
        <x:v>0</x:v>
      </x:c>
      <x:c r="AF19" s="40" t="n">
        <x:f>AF10-AF18</x:f>
        <x:v>0</x:v>
      </x:c>
      <x:c r="AG19" s="40" t="n">
        <x:f>AG10-AG18</x:f>
        <x:v>0</x:v>
      </x:c>
      <x:c r="AH19" s="40" t="n">
        <x:f>AH10-AH18</x:f>
        <x:v>-1.4551915228366852e-11</x:v>
      </x:c>
      <x:c r="AI19" s="40" t="n">
        <x:f>AI10-AI18</x:f>
        <x:v>0</x:v>
      </x:c>
      <x:c r="AJ19" s="40" t="n">
        <x:f>AJ10-AJ18</x:f>
        <x:v>0</x:v>
      </x:c>
      <x:c r="AK19" s="40" t="n">
        <x:f>AK10-AK18</x:f>
        <x:v>0</x:v>
      </x:c>
      <x:c r="AL19" s="40" t="n">
        <x:f>AL10-AL18</x:f>
        <x:v>0</x:v>
      </x:c>
      <x:c r="AM19" s="40" t="n">
        <x:f>AM10-AM18</x:f>
        <x:v>0</x:v>
      </x:c>
      <x:c r="AN19" s="40" t="n">
        <x:f>AN10-AN18</x:f>
        <x:v>0</x:v>
      </x:c>
      <x:c r="AO19" s="40" t="n">
        <x:f>AO10-AO18</x:f>
        <x:v>1.4551915228366852e-11</x:v>
      </x:c>
      <x:c r="AP19" s="40" t="n">
        <x:f>AP10-AP18</x:f>
        <x:v>1.4551915228366852e-11</x:v>
      </x:c>
      <x:c r="AQ19" s="40" t="n">
        <x:f>AQ10-AQ18</x:f>
        <x:v>0</x:v>
      </x:c>
      <x:c r="AR19" s="40" t="n">
        <x:f>AR10-AR18</x:f>
        <x:v>0</x:v>
      </x:c>
      <x:c r="AS19" s="40" t="n">
        <x:f>AS10-AS18</x:f>
        <x:v>1.4551915228366852e-11</x:v>
      </x:c>
      <x:c r="AT19" s="40" t="n">
        <x:f>AT10-AT18</x:f>
        <x:v>0</x:v>
      </x:c>
      <x:c r="AU19" s="40" t="n">
        <x:f>AU10-AU18</x:f>
        <x:v>0</x:v>
      </x:c>
      <x:c r="AV19" s="40" t="n">
        <x:f>AV10-AV18</x:f>
        <x:v>-1.4551915228366852e-11</x:v>
      </x:c>
      <x:c r="AW19" s="40" t="n">
        <x:f>AW10-AW18</x:f>
        <x:v>0</x:v>
      </x:c>
      <x:c r="AX19" s="40" t="n">
        <x:f>AX10-AX18</x:f>
        <x:v>1.4551915228366852e-11</x:v>
      </x:c>
      <x:c r="AY19" s="40" t="n">
        <x:f>AY10-AY18</x:f>
        <x:v>0</x:v>
      </x:c>
      <x:c r="AZ19" s="40" t="n">
        <x:f>AZ10-AZ18</x:f>
        <x:v>0</x:v>
      </x:c>
      <x:c r="BA19" s="40" t="n">
        <x:f>BA10-BA18</x:f>
        <x:v>0</x:v>
      </x:c>
      <x:c r="BB19" s="40" t="n">
        <x:f>BB10-BB18</x:f>
        <x:v>0</x:v>
      </x:c>
      <x:c r="BC19" s="40" t="n">
        <x:f>BC10-BC18</x:f>
        <x:v>0</x:v>
      </x:c>
      <x:c r="BD19" s="40" t="n">
        <x:f>BD10-BD18</x:f>
        <x:v>0</x:v>
      </x:c>
      <x:c r="BE19" s="40" t="n">
        <x:f>BE10-BE18</x:f>
        <x:v>0</x:v>
      </x:c>
      <x:c r="BF19" s="40" t="n">
        <x:f>BF10-BF18</x:f>
        <x:v>0</x:v>
      </x:c>
      <x:c r="BG19" s="40" t="n">
        <x:f>BG10-BG18</x:f>
        <x:v>1.4551915228366852e-11</x:v>
      </x:c>
      <x:c r="BH19" s="40" t="n">
        <x:f>BH10-BH18</x:f>
        <x:v>0</x:v>
      </x:c>
      <x:c r="BI19" s="40" t="n">
        <x:f>BI10-BI18</x:f>
        <x:v>0</x:v>
      </x:c>
      <x:c r="BJ19" s="40" t="n">
        <x:f>BJ10-BJ18</x:f>
        <x:v>0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</x:row>
  </x:sheetData>
  <x:mergeCells>
    <x:mergeCell ref="A1:B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月次CF｜PL・BS・借入返済から自動連動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</x:row>
    <x:row r="2">
      <x:c r="A2" s="2" t="str">
        <x:v>単位</x:v>
      </x:c>
      <x:c r="B2" s="2" t="str">
        <x:v>千円 / % / 回 / 倍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</x:row>
    <x:row r="5">
      <x:c r="A5" s="9" t="str">
        <x:v>区分</x:v>
      </x:c>
      <x:c r="B5" s="9" t="str">
        <x:v>項目</x:v>
      </x:c>
      <x:c r="C5" s="9" t="str">
        <x:v>2026/04</x:v>
      </x:c>
      <x:c r="D5" s="9" t="str">
        <x:v>2026/05</x:v>
      </x:c>
      <x:c r="E5" s="9" t="str">
        <x:v>2026/06</x:v>
      </x:c>
      <x:c r="F5" s="9" t="str">
        <x:v>2026/07</x:v>
      </x:c>
      <x:c r="G5" s="9" t="str">
        <x:v>2026/08</x:v>
      </x:c>
      <x:c r="H5" s="9" t="str">
        <x:v>2026/09</x:v>
      </x:c>
      <x:c r="I5" s="9" t="str">
        <x:v>2026/10</x:v>
      </x:c>
      <x:c r="J5" s="9" t="str">
        <x:v>2026/11</x:v>
      </x:c>
      <x:c r="K5" s="9" t="str">
        <x:v>2026/12</x:v>
      </x:c>
      <x:c r="L5" s="9" t="str">
        <x:v>2027/01</x:v>
      </x:c>
      <x:c r="M5" s="9" t="str">
        <x:v>2027/02</x:v>
      </x:c>
      <x:c r="N5" s="9" t="str">
        <x:v>2027/03</x:v>
      </x:c>
      <x:c r="O5" s="9" t="str">
        <x:v>2027/04</x:v>
      </x:c>
      <x:c r="P5" s="9" t="str">
        <x:v>2027/05</x:v>
      </x:c>
      <x:c r="Q5" s="9" t="str">
        <x:v>2027/06</x:v>
      </x:c>
      <x:c r="R5" s="9" t="str">
        <x:v>2027/07</x:v>
      </x:c>
      <x:c r="S5" s="9" t="str">
        <x:v>2027/08</x:v>
      </x:c>
      <x:c r="T5" s="9" t="str">
        <x:v>2027/09</x:v>
      </x:c>
      <x:c r="U5" s="9" t="str">
        <x:v>2027/10</x:v>
      </x:c>
      <x:c r="V5" s="9" t="str">
        <x:v>2027/11</x:v>
      </x:c>
      <x:c r="W5" s="9" t="str">
        <x:v>2027/12</x:v>
      </x:c>
      <x:c r="X5" s="9" t="str">
        <x:v>2028/01</x:v>
      </x:c>
      <x:c r="Y5" s="9" t="str">
        <x:v>2028/02</x:v>
      </x:c>
      <x:c r="Z5" s="9" t="str">
        <x:v>2028/03</x:v>
      </x:c>
      <x:c r="AA5" s="9" t="str">
        <x:v>2028/04</x:v>
      </x:c>
      <x:c r="AB5" s="9" t="str">
        <x:v>2028/05</x:v>
      </x:c>
      <x:c r="AC5" s="9" t="str">
        <x:v>2028/06</x:v>
      </x:c>
      <x:c r="AD5" s="9" t="str">
        <x:v>2028/07</x:v>
      </x:c>
      <x:c r="AE5" s="9" t="str">
        <x:v>2028/08</x:v>
      </x:c>
      <x:c r="AF5" s="9" t="str">
        <x:v>2028/09</x:v>
      </x:c>
      <x:c r="AG5" s="9" t="str">
        <x:v>2028/10</x:v>
      </x:c>
      <x:c r="AH5" s="9" t="str">
        <x:v>2028/11</x:v>
      </x:c>
      <x:c r="AI5" s="9" t="str">
        <x:v>2028/12</x:v>
      </x:c>
      <x:c r="AJ5" s="9" t="str">
        <x:v>2029/01</x:v>
      </x:c>
      <x:c r="AK5" s="9" t="str">
        <x:v>2029/02</x:v>
      </x:c>
      <x:c r="AL5" s="9" t="str">
        <x:v>2029/03</x:v>
      </x:c>
      <x:c r="AM5" s="9" t="str">
        <x:v>2029/04</x:v>
      </x:c>
      <x:c r="AN5" s="9" t="str">
        <x:v>2029/05</x:v>
      </x:c>
      <x:c r="AO5" s="9" t="str">
        <x:v>2029/06</x:v>
      </x:c>
      <x:c r="AP5" s="9" t="str">
        <x:v>2029/07</x:v>
      </x:c>
      <x:c r="AQ5" s="9" t="str">
        <x:v>2029/08</x:v>
      </x:c>
      <x:c r="AR5" s="9" t="str">
        <x:v>2029/09</x:v>
      </x:c>
      <x:c r="AS5" s="9" t="str">
        <x:v>2029/10</x:v>
      </x:c>
      <x:c r="AT5" s="9" t="str">
        <x:v>2029/11</x:v>
      </x:c>
      <x:c r="AU5" s="9" t="str">
        <x:v>2029/12</x:v>
      </x:c>
      <x:c r="AV5" s="9" t="str">
        <x:v>2030/01</x:v>
      </x:c>
      <x:c r="AW5" s="9" t="str">
        <x:v>2030/02</x:v>
      </x:c>
      <x:c r="AX5" s="9" t="str">
        <x:v>2030/03</x:v>
      </x:c>
      <x:c r="AY5" s="9" t="str">
        <x:v>2030/04</x:v>
      </x:c>
      <x:c r="AZ5" s="9" t="str">
        <x:v>2030/05</x:v>
      </x:c>
      <x:c r="BA5" s="9" t="str">
        <x:v>2030/06</x:v>
      </x:c>
      <x:c r="BB5" s="9" t="str">
        <x:v>2030/07</x:v>
      </x:c>
      <x:c r="BC5" s="9" t="str">
        <x:v>2030/08</x:v>
      </x:c>
      <x:c r="BD5" s="9" t="str">
        <x:v>2030/09</x:v>
      </x:c>
      <x:c r="BE5" s="9" t="str">
        <x:v>2030/10</x:v>
      </x:c>
      <x:c r="BF5" s="9" t="str">
        <x:v>2030/11</x:v>
      </x:c>
      <x:c r="BG5" s="9" t="str">
        <x:v>2030/12</x:v>
      </x:c>
      <x:c r="BH5" s="9" t="str">
        <x:v>2031/01</x:v>
      </x:c>
      <x:c r="BI5" s="9" t="str">
        <x:v>2031/02</x:v>
      </x:c>
      <x:c r="BJ5" s="9" t="str">
        <x:v>2031/03</x:v>
      </x:c>
    </x:row>
    <x:row r="6">
      <x:c r="A6" s="12" t="str">
        <x:v>営業CF</x:v>
      </x:c>
      <x:c r="B6" s="12" t="str">
        <x:v>当期純利益</x:v>
      </x:c>
      <x:c r="C6" s="40" t="n">
        <x:f>'06_PL'!C37</x:f>
        <x:v>-557.2930833333332</x:v>
      </x:c>
      <x:c r="D6" s="40" t="n">
        <x:f>'06_PL'!D37</x:f>
        <x:v>-547.6084083333334</x:v>
      </x:c>
      <x:c r="E6" s="40" t="n">
        <x:f>'06_PL'!E37</x:f>
        <x:v>-557.2930833333332</x:v>
      </x:c>
      <x:c r="F6" s="40" t="n">
        <x:f>'06_PL'!F37</x:f>
        <x:v>752.2409666666672</x:v>
      </x:c>
      <x:c r="G6" s="40" t="n">
        <x:f>'06_PL'!G37</x:f>
        <x:v>752.2409666666672</x:v>
      </x:c>
      <x:c r="H6" s="40" t="n">
        <x:f>'06_PL'!H37</x:f>
        <x:v>-557.2930833333332</x:v>
      </x:c>
      <x:c r="I6" s="40" t="n">
        <x:f>'06_PL'!I37</x:f>
        <x:v>-547.6084083333334</x:v>
      </x:c>
      <x:c r="J6" s="40" t="n">
        <x:f>'06_PL'!J37</x:f>
        <x:v>-557.2930833333332</x:v>
      </x:c>
      <x:c r="K6" s="40" t="n">
        <x:f>'06_PL'!K37</x:f>
        <x:v>752.2409666666672</x:v>
      </x:c>
      <x:c r="L6" s="40" t="n">
        <x:f>'06_PL'!L37</x:f>
        <x:v>1905.3409916666662</x:v>
      </x:c>
      <x:c r="M6" s="40" t="n">
        <x:f>'06_PL'!M37</x:f>
        <x:v>1638.9047666666659</x:v>
      </x:c>
      <x:c r="N6" s="40" t="n">
        <x:f>'06_PL'!N37</x:f>
        <x:v>-258.9689583333332</x:v>
      </x:c>
      <x:c r="O6" s="40" t="n">
        <x:f>'06_PL'!O37</x:f>
        <x:v>-557.2930833333332</x:v>
      </x:c>
      <x:c r="P6" s="40" t="n">
        <x:f>'06_PL'!P37</x:f>
        <x:v>-547.6084083333334</x:v>
      </x:c>
      <x:c r="Q6" s="40" t="n">
        <x:f>'06_PL'!Q37</x:f>
        <x:v>-557.2930833333332</x:v>
      </x:c>
      <x:c r="R6" s="40" t="n">
        <x:f>'06_PL'!R37</x:f>
        <x:v>752.2409666666672</x:v>
      </x:c>
      <x:c r="S6" s="40" t="n">
        <x:f>'06_PL'!S37</x:f>
        <x:v>752.2409666666672</x:v>
      </x:c>
      <x:c r="T6" s="40" t="n">
        <x:f>'06_PL'!T37</x:f>
        <x:v>-557.2930833333332</x:v>
      </x:c>
      <x:c r="U6" s="40" t="n">
        <x:f>'06_PL'!U37</x:f>
        <x:v>-547.6084083333334</x:v>
      </x:c>
      <x:c r="V6" s="40" t="n">
        <x:f>'06_PL'!V37</x:f>
        <x:v>-557.2930833333332</x:v>
      </x:c>
      <x:c r="W6" s="40" t="n">
        <x:f>'06_PL'!W37</x:f>
        <x:v>752.2409666666672</x:v>
      </x:c>
      <x:c r="X6" s="40" t="n">
        <x:f>'06_PL'!X37</x:f>
        <x:v>1905.3409916666662</x:v>
      </x:c>
      <x:c r="Y6" s="40" t="n">
        <x:f>'06_PL'!Y37</x:f>
        <x:v>1727.7168416666661</x:v>
      </x:c>
      <x:c r="Z6" s="40" t="n">
        <x:f>'06_PL'!Z37</x:f>
        <x:v>-258.9689583333332</x:v>
      </x:c>
      <x:c r="AA6" s="40" t="n">
        <x:f>'06_PL'!AA37</x:f>
        <x:v>-557.2930833333332</x:v>
      </x:c>
      <x:c r="AB6" s="40" t="n">
        <x:f>'06_PL'!AB37</x:f>
        <x:v>-547.6084083333334</x:v>
      </x:c>
      <x:c r="AC6" s="40" t="n">
        <x:f>'06_PL'!AC37</x:f>
        <x:v>-557.2930833333332</x:v>
      </x:c>
      <x:c r="AD6" s="40" t="n">
        <x:f>'06_PL'!AD37</x:f>
        <x:v>752.2409666666672</x:v>
      </x:c>
      <x:c r="AE6" s="40" t="n">
        <x:f>'06_PL'!AE37</x:f>
        <x:v>752.2409666666672</x:v>
      </x:c>
      <x:c r="AF6" s="40" t="n">
        <x:f>'06_PL'!AF37</x:f>
        <x:v>-557.2930833333332</x:v>
      </x:c>
      <x:c r="AG6" s="40" t="n">
        <x:f>'06_PL'!AG37</x:f>
        <x:v>-547.6084083333334</x:v>
      </x:c>
      <x:c r="AH6" s="40" t="n">
        <x:f>'06_PL'!AH37</x:f>
        <x:v>-557.2930833333332</x:v>
      </x:c>
      <x:c r="AI6" s="40" t="n">
        <x:f>'06_PL'!AI37</x:f>
        <x:v>752.2409666666672</x:v>
      </x:c>
      <x:c r="AJ6" s="40" t="n">
        <x:f>'06_PL'!AJ37</x:f>
        <x:v>1905.3409916666662</x:v>
      </x:c>
      <x:c r="AK6" s="40" t="n">
        <x:f>'06_PL'!AK37</x:f>
        <x:v>1638.9047666666659</x:v>
      </x:c>
      <x:c r="AL6" s="40" t="n">
        <x:f>'06_PL'!AL37</x:f>
        <x:v>-258.9689583333332</x:v>
      </x:c>
      <x:c r="AM6" s="40" t="n">
        <x:f>'06_PL'!AM37</x:f>
        <x:v>-557.2930833333332</x:v>
      </x:c>
      <x:c r="AN6" s="40" t="n">
        <x:f>'06_PL'!AN37</x:f>
        <x:v>-547.6084083333334</x:v>
      </x:c>
      <x:c r="AO6" s="40" t="n">
        <x:f>'06_PL'!AO37</x:f>
        <x:v>-557.2930833333332</x:v>
      </x:c>
      <x:c r="AP6" s="40" t="n">
        <x:f>'06_PL'!AP37</x:f>
        <x:v>752.2409666666672</x:v>
      </x:c>
      <x:c r="AQ6" s="40" t="n">
        <x:f>'06_PL'!AQ37</x:f>
        <x:v>752.2409666666672</x:v>
      </x:c>
      <x:c r="AR6" s="40" t="n">
        <x:f>'06_PL'!AR37</x:f>
        <x:v>-557.2930833333332</x:v>
      </x:c>
      <x:c r="AS6" s="40" t="n">
        <x:f>'06_PL'!AS37</x:f>
        <x:v>-547.6084083333334</x:v>
      </x:c>
      <x:c r="AT6" s="40" t="n">
        <x:f>'06_PL'!AT37</x:f>
        <x:v>-557.2930833333332</x:v>
      </x:c>
      <x:c r="AU6" s="40" t="n">
        <x:f>'06_PL'!AU37</x:f>
        <x:v>752.2409666666672</x:v>
      </x:c>
      <x:c r="AV6" s="40" t="n">
        <x:f>'06_PL'!AV37</x:f>
        <x:v>1905.3409916666662</x:v>
      </x:c>
      <x:c r="AW6" s="40" t="n">
        <x:f>'06_PL'!AW37</x:f>
        <x:v>1638.9047666666659</x:v>
      </x:c>
      <x:c r="AX6" s="40" t="n">
        <x:f>'06_PL'!AX37</x:f>
        <x:v>-258.9689583333332</x:v>
      </x:c>
      <x:c r="AY6" s="40" t="n">
        <x:f>'06_PL'!AY37</x:f>
        <x:v>-557.2930833333332</x:v>
      </x:c>
      <x:c r="AZ6" s="40" t="n">
        <x:f>'06_PL'!AZ37</x:f>
        <x:v>-547.6084083333334</x:v>
      </x:c>
      <x:c r="BA6" s="40" t="n">
        <x:f>'06_PL'!BA37</x:f>
        <x:v>-557.2930833333332</x:v>
      </x:c>
      <x:c r="BB6" s="40" t="n">
        <x:f>'06_PL'!BB37</x:f>
        <x:v>752.2409666666672</x:v>
      </x:c>
      <x:c r="BC6" s="40" t="n">
        <x:f>'06_PL'!BC37</x:f>
        <x:v>752.2409666666672</x:v>
      </x:c>
      <x:c r="BD6" s="40" t="n">
        <x:f>'06_PL'!BD37</x:f>
        <x:v>-557.2930833333332</x:v>
      </x:c>
      <x:c r="BE6" s="40" t="n">
        <x:f>'06_PL'!BE37</x:f>
        <x:v>-547.6084083333334</x:v>
      </x:c>
      <x:c r="BF6" s="40" t="n">
        <x:f>'06_PL'!BF37</x:f>
        <x:v>-557.2930833333332</x:v>
      </x:c>
      <x:c r="BG6" s="40" t="n">
        <x:f>'06_PL'!BG37</x:f>
        <x:v>752.2409666666672</x:v>
      </x:c>
      <x:c r="BH6" s="40" t="n">
        <x:f>'06_PL'!BH37</x:f>
        <x:v>1905.3409916666662</x:v>
      </x:c>
      <x:c r="BI6" s="40" t="n">
        <x:f>'06_PL'!BI37</x:f>
        <x:v>1638.9047666666659</x:v>
      </x:c>
      <x:c r="BJ6" s="40" t="n">
        <x:f>'06_PL'!BJ37</x:f>
        <x:v>-258.9689583333332</x:v>
      </x:c>
    </x:row>
    <x:row r="7">
      <x:c r="A7" s="12" t="str">
        <x:v>営業CF</x:v>
      </x:c>
      <x:c r="B7" s="12" t="str">
        <x:v>減価償却費</x:v>
      </x:c>
      <x:c r="C7" s="40" t="n">
        <x:f>'06_PL'!C30</x:f>
        <x:v>500</x:v>
      </x:c>
      <x:c r="D7" s="40" t="n">
        <x:f>'06_PL'!D30</x:f>
        <x:v>500</x:v>
      </x:c>
      <x:c r="E7" s="40" t="n">
        <x:f>'06_PL'!E30</x:f>
        <x:v>500</x:v>
      </x:c>
      <x:c r="F7" s="40" t="n">
        <x:f>'06_PL'!F30</x:f>
        <x:v>500</x:v>
      </x:c>
      <x:c r="G7" s="40" t="n">
        <x:f>'06_PL'!G30</x:f>
        <x:v>500</x:v>
      </x:c>
      <x:c r="H7" s="40" t="n">
        <x:f>'06_PL'!H30</x:f>
        <x:v>500</x:v>
      </x:c>
      <x:c r="I7" s="40" t="n">
        <x:f>'06_PL'!I30</x:f>
        <x:v>500</x:v>
      </x:c>
      <x:c r="J7" s="40" t="n">
        <x:f>'06_PL'!J30</x:f>
        <x:v>500</x:v>
      </x:c>
      <x:c r="K7" s="40" t="n">
        <x:f>'06_PL'!K30</x:f>
        <x:v>500</x:v>
      </x:c>
      <x:c r="L7" s="40" t="n">
        <x:f>'06_PL'!L30</x:f>
        <x:v>500</x:v>
      </x:c>
      <x:c r="M7" s="40" t="n">
        <x:f>'06_PL'!M30</x:f>
        <x:v>500</x:v>
      </x:c>
      <x:c r="N7" s="40" t="n">
        <x:f>'06_PL'!N30</x:f>
        <x:v>500</x:v>
      </x:c>
      <x:c r="O7" s="40" t="n">
        <x:f>'06_PL'!O30</x:f>
        <x:v>500</x:v>
      </x:c>
      <x:c r="P7" s="40" t="n">
        <x:f>'06_PL'!P30</x:f>
        <x:v>500</x:v>
      </x:c>
      <x:c r="Q7" s="40" t="n">
        <x:f>'06_PL'!Q30</x:f>
        <x:v>500</x:v>
      </x:c>
      <x:c r="R7" s="40" t="n">
        <x:f>'06_PL'!R30</x:f>
        <x:v>500</x:v>
      </x:c>
      <x:c r="S7" s="40" t="n">
        <x:f>'06_PL'!S30</x:f>
        <x:v>500</x:v>
      </x:c>
      <x:c r="T7" s="40" t="n">
        <x:f>'06_PL'!T30</x:f>
        <x:v>500</x:v>
      </x:c>
      <x:c r="U7" s="40" t="n">
        <x:f>'06_PL'!U30</x:f>
        <x:v>500</x:v>
      </x:c>
      <x:c r="V7" s="40" t="n">
        <x:f>'06_PL'!V30</x:f>
        <x:v>500</x:v>
      </x:c>
      <x:c r="W7" s="40" t="n">
        <x:f>'06_PL'!W30</x:f>
        <x:v>500</x:v>
      </x:c>
      <x:c r="X7" s="40" t="n">
        <x:f>'06_PL'!X30</x:f>
        <x:v>500</x:v>
      </x:c>
      <x:c r="Y7" s="40" t="n">
        <x:f>'06_PL'!Y30</x:f>
        <x:v>500</x:v>
      </x:c>
      <x:c r="Z7" s="40" t="n">
        <x:f>'06_PL'!Z30</x:f>
        <x:v>500</x:v>
      </x:c>
      <x:c r="AA7" s="40" t="n">
        <x:f>'06_PL'!AA30</x:f>
        <x:v>500</x:v>
      </x:c>
      <x:c r="AB7" s="40" t="n">
        <x:f>'06_PL'!AB30</x:f>
        <x:v>500</x:v>
      </x:c>
      <x:c r="AC7" s="40" t="n">
        <x:f>'06_PL'!AC30</x:f>
        <x:v>500</x:v>
      </x:c>
      <x:c r="AD7" s="40" t="n">
        <x:f>'06_PL'!AD30</x:f>
        <x:v>500</x:v>
      </x:c>
      <x:c r="AE7" s="40" t="n">
        <x:f>'06_PL'!AE30</x:f>
        <x:v>500</x:v>
      </x:c>
      <x:c r="AF7" s="40" t="n">
        <x:f>'06_PL'!AF30</x:f>
        <x:v>500</x:v>
      </x:c>
      <x:c r="AG7" s="40" t="n">
        <x:f>'06_PL'!AG30</x:f>
        <x:v>500</x:v>
      </x:c>
      <x:c r="AH7" s="40" t="n">
        <x:f>'06_PL'!AH30</x:f>
        <x:v>500</x:v>
      </x:c>
      <x:c r="AI7" s="40" t="n">
        <x:f>'06_PL'!AI30</x:f>
        <x:v>500</x:v>
      </x:c>
      <x:c r="AJ7" s="40" t="n">
        <x:f>'06_PL'!AJ30</x:f>
        <x:v>500</x:v>
      </x:c>
      <x:c r="AK7" s="40" t="n">
        <x:f>'06_PL'!AK30</x:f>
        <x:v>500</x:v>
      </x:c>
      <x:c r="AL7" s="40" t="n">
        <x:f>'06_PL'!AL30</x:f>
        <x:v>500</x:v>
      </x:c>
      <x:c r="AM7" s="40" t="n">
        <x:f>'06_PL'!AM30</x:f>
        <x:v>500</x:v>
      </x:c>
      <x:c r="AN7" s="40" t="n">
        <x:f>'06_PL'!AN30</x:f>
        <x:v>500</x:v>
      </x:c>
      <x:c r="AO7" s="40" t="n">
        <x:f>'06_PL'!AO30</x:f>
        <x:v>500</x:v>
      </x:c>
      <x:c r="AP7" s="40" t="n">
        <x:f>'06_PL'!AP30</x:f>
        <x:v>500</x:v>
      </x:c>
      <x:c r="AQ7" s="40" t="n">
        <x:f>'06_PL'!AQ30</x:f>
        <x:v>500</x:v>
      </x:c>
      <x:c r="AR7" s="40" t="n">
        <x:f>'06_PL'!AR30</x:f>
        <x:v>500</x:v>
      </x:c>
      <x:c r="AS7" s="40" t="n">
        <x:f>'06_PL'!AS30</x:f>
        <x:v>500</x:v>
      </x:c>
      <x:c r="AT7" s="40" t="n">
        <x:f>'06_PL'!AT30</x:f>
        <x:v>500</x:v>
      </x:c>
      <x:c r="AU7" s="40" t="n">
        <x:f>'06_PL'!AU30</x:f>
        <x:v>500</x:v>
      </x:c>
      <x:c r="AV7" s="40" t="n">
        <x:f>'06_PL'!AV30</x:f>
        <x:v>500</x:v>
      </x:c>
      <x:c r="AW7" s="40" t="n">
        <x:f>'06_PL'!AW30</x:f>
        <x:v>500</x:v>
      </x:c>
      <x:c r="AX7" s="40" t="n">
        <x:f>'06_PL'!AX30</x:f>
        <x:v>500</x:v>
      </x:c>
      <x:c r="AY7" s="40" t="n">
        <x:f>'06_PL'!AY30</x:f>
        <x:v>500</x:v>
      </x:c>
      <x:c r="AZ7" s="40" t="n">
        <x:f>'06_PL'!AZ30</x:f>
        <x:v>500</x:v>
      </x:c>
      <x:c r="BA7" s="40" t="n">
        <x:f>'06_PL'!BA30</x:f>
        <x:v>500</x:v>
      </x:c>
      <x:c r="BB7" s="40" t="n">
        <x:f>'06_PL'!BB30</x:f>
        <x:v>500</x:v>
      </x:c>
      <x:c r="BC7" s="40" t="n">
        <x:f>'06_PL'!BC30</x:f>
        <x:v>500</x:v>
      </x:c>
      <x:c r="BD7" s="40" t="n">
        <x:f>'06_PL'!BD30</x:f>
        <x:v>500</x:v>
      </x:c>
      <x:c r="BE7" s="40" t="n">
        <x:f>'06_PL'!BE30</x:f>
        <x:v>500</x:v>
      </x:c>
      <x:c r="BF7" s="40" t="n">
        <x:f>'06_PL'!BF30</x:f>
        <x:v>500</x:v>
      </x:c>
      <x:c r="BG7" s="40" t="n">
        <x:f>'06_PL'!BG30</x:f>
        <x:v>500</x:v>
      </x:c>
      <x:c r="BH7" s="40" t="n">
        <x:f>'06_PL'!BH30</x:f>
        <x:v>500</x:v>
      </x:c>
      <x:c r="BI7" s="40" t="n">
        <x:f>'06_PL'!BI30</x:f>
        <x:v>500</x:v>
      </x:c>
      <x:c r="BJ7" s="40" t="n">
        <x:f>'06_PL'!BJ30</x:f>
        <x:v>500</x:v>
      </x:c>
    </x:row>
    <x:row r="8">
      <x:c r="A8" s="12" t="str">
        <x:v>営業CF</x:v>
      </x:c>
      <x:c r="B8" s="12" t="str">
        <x:v>売掛金増減</x:v>
      </x:c>
      <x:c r="C8" s="40" t="n">
        <x:f>-('07_BS'!C7-0)</x:f>
        <x:v>-1245.45</x:v>
      </x:c>
      <x:c r="D8" s="40" t="n">
        <x:f>-('07_BS'!D7-'07_BS'!C7)</x:f>
        <x:v>2.2737367544323206e-13</x:v>
      </x:c>
      <x:c r="E8" s="40" t="n">
        <x:f>-('07_BS'!E7-'07_BS'!D7)</x:f>
        <x:v>-2.2737367544323206e-13</x:v>
      </x:c>
      <x:c r="F8" s="40" t="n">
        <x:f>-('07_BS'!F7-'07_BS'!E7)</x:f>
        <x:v>-1661.5500000000004</x:v>
      </x:c>
      <x:c r="G8" s="40" t="n">
        <x:f>-('07_BS'!G7-'07_BS'!F7)</x:f>
        <x:v>0</x:v>
      </x:c>
      <x:c r="H8" s="40" t="n">
        <x:f>-('07_BS'!H7-'07_BS'!G7)</x:f>
        <x:v>1661.5500000000004</x:v>
      </x:c>
      <x:c r="I8" s="40" t="n">
        <x:f>-('07_BS'!I7-'07_BS'!H7)</x:f>
        <x:v>2.2737367544323206e-13</x:v>
      </x:c>
      <x:c r="J8" s="40" t="n">
        <x:f>-('07_BS'!J7-'07_BS'!I7)</x:f>
        <x:v>-2.2737367544323206e-13</x:v>
      </x:c>
      <x:c r="K8" s="40" t="n">
        <x:f>-('07_BS'!K7-'07_BS'!J7)</x:f>
        <x:v>-1661.5500000000004</x:v>
      </x:c>
      <x:c r="L8" s="40" t="n">
        <x:f>-('07_BS'!L7-'07_BS'!K7)</x:f>
        <x:v>-1416.4499999999994</x:v>
      </x:c>
      <x:c r="M8" s="40" t="n">
        <x:f>-('07_BS'!M7-'07_BS'!L7)</x:f>
        <x:v>9.094947017729282e-13</x:v>
      </x:c>
      <x:c r="N8" s="40" t="n">
        <x:f>-('07_BS'!N7-'07_BS'!M7)</x:f>
        <x:v>2684.699999999999</x:v>
      </x:c>
      <x:c r="O8" s="40" t="n">
        <x:f>-('07_BS'!O7-'07_BS'!N7)</x:f>
        <x:v>393.29999999999995</x:v>
      </x:c>
      <x:c r="P8" s="40" t="n">
        <x:f>-('07_BS'!P7-'07_BS'!O7)</x:f>
        <x:v>2.2737367544323206e-13</x:v>
      </x:c>
      <x:c r="Q8" s="40" t="n">
        <x:f>-('07_BS'!Q7-'07_BS'!P7)</x:f>
        <x:v>-2.2737367544323206e-13</x:v>
      </x:c>
      <x:c r="R8" s="40" t="n">
        <x:f>-('07_BS'!R7-'07_BS'!Q7)</x:f>
        <x:v>-1661.5500000000004</x:v>
      </x:c>
      <x:c r="S8" s="40" t="n">
        <x:f>-('07_BS'!S7-'07_BS'!R7)</x:f>
        <x:v>0</x:v>
      </x:c>
      <x:c r="T8" s="40" t="n">
        <x:f>-('07_BS'!T7-'07_BS'!S7)</x:f>
        <x:v>1661.5500000000004</x:v>
      </x:c>
      <x:c r="U8" s="40" t="n">
        <x:f>-('07_BS'!U7-'07_BS'!T7)</x:f>
        <x:v>2.2737367544323206e-13</x:v>
      </x:c>
      <x:c r="V8" s="40" t="n">
        <x:f>-('07_BS'!V7-'07_BS'!U7)</x:f>
        <x:v>-2.2737367544323206e-13</x:v>
      </x:c>
      <x:c r="W8" s="40" t="n">
        <x:f>-('07_BS'!W7-'07_BS'!V7)</x:f>
        <x:v>-1661.5500000000004</x:v>
      </x:c>
      <x:c r="X8" s="40" t="n">
        <x:f>-('07_BS'!X7-'07_BS'!W7)</x:f>
        <x:v>-1416.4499999999994</x:v>
      </x:c>
      <x:c r="Y8" s="40" t="n">
        <x:f>-('07_BS'!Y7-'07_BS'!X7)</x:f>
        <x:v>0</x:v>
      </x:c>
      <x:c r="Z8" s="40" t="n">
        <x:f>-('07_BS'!Z7-'07_BS'!Y7)</x:f>
        <x:v>2684.7</x:v>
      </x:c>
      <x:c r="AA8" s="40" t="n">
        <x:f>-('07_BS'!AA7-'07_BS'!Z7)</x:f>
        <x:v>393.29999999999995</x:v>
      </x:c>
      <x:c r="AB8" s="40" t="n">
        <x:f>-('07_BS'!AB7-'07_BS'!AA7)</x:f>
        <x:v>2.2737367544323206e-13</x:v>
      </x:c>
      <x:c r="AC8" s="40" t="n">
        <x:f>-('07_BS'!AC7-'07_BS'!AB7)</x:f>
        <x:v>-2.2737367544323206e-13</x:v>
      </x:c>
      <x:c r="AD8" s="40" t="n">
        <x:f>-('07_BS'!AD7-'07_BS'!AC7)</x:f>
        <x:v>-1661.5500000000004</x:v>
      </x:c>
      <x:c r="AE8" s="40" t="n">
        <x:f>-('07_BS'!AE7-'07_BS'!AD7)</x:f>
        <x:v>0</x:v>
      </x:c>
      <x:c r="AF8" s="40" t="n">
        <x:f>-('07_BS'!AF7-'07_BS'!AE7)</x:f>
        <x:v>1661.5500000000004</x:v>
      </x:c>
      <x:c r="AG8" s="40" t="n">
        <x:f>-('07_BS'!AG7-'07_BS'!AF7)</x:f>
        <x:v>2.2737367544323206e-13</x:v>
      </x:c>
      <x:c r="AH8" s="40" t="n">
        <x:f>-('07_BS'!AH7-'07_BS'!AG7)</x:f>
        <x:v>-2.2737367544323206e-13</x:v>
      </x:c>
      <x:c r="AI8" s="40" t="n">
        <x:f>-('07_BS'!AI7-'07_BS'!AH7)</x:f>
        <x:v>-1661.5500000000004</x:v>
      </x:c>
      <x:c r="AJ8" s="40" t="n">
        <x:f>-('07_BS'!AJ7-'07_BS'!AI7)</x:f>
        <x:v>-1416.4499999999994</x:v>
      </x:c>
      <x:c r="AK8" s="40" t="n">
        <x:f>-('07_BS'!AK7-'07_BS'!AJ7)</x:f>
        <x:v>9.094947017729282e-13</x:v>
      </x:c>
      <x:c r="AL8" s="40" t="n">
        <x:f>-('07_BS'!AL7-'07_BS'!AK7)</x:f>
        <x:v>2684.699999999999</x:v>
      </x:c>
      <x:c r="AM8" s="40" t="n">
        <x:f>-('07_BS'!AM7-'07_BS'!AL7)</x:f>
        <x:v>393.29999999999995</x:v>
      </x:c>
      <x:c r="AN8" s="40" t="n">
        <x:f>-('07_BS'!AN7-'07_BS'!AM7)</x:f>
        <x:v>2.2737367544323206e-13</x:v>
      </x:c>
      <x:c r="AO8" s="40" t="n">
        <x:f>-('07_BS'!AO7-'07_BS'!AN7)</x:f>
        <x:v>-2.2737367544323206e-13</x:v>
      </x:c>
      <x:c r="AP8" s="40" t="n">
        <x:f>-('07_BS'!AP7-'07_BS'!AO7)</x:f>
        <x:v>-1661.5500000000004</x:v>
      </x:c>
      <x:c r="AQ8" s="40" t="n">
        <x:f>-('07_BS'!AQ7-'07_BS'!AP7)</x:f>
        <x:v>0</x:v>
      </x:c>
      <x:c r="AR8" s="40" t="n">
        <x:f>-('07_BS'!AR7-'07_BS'!AQ7)</x:f>
        <x:v>1661.5500000000004</x:v>
      </x:c>
      <x:c r="AS8" s="40" t="n">
        <x:f>-('07_BS'!AS7-'07_BS'!AR7)</x:f>
        <x:v>2.2737367544323206e-13</x:v>
      </x:c>
      <x:c r="AT8" s="40" t="n">
        <x:f>-('07_BS'!AT7-'07_BS'!AS7)</x:f>
        <x:v>-2.2737367544323206e-13</x:v>
      </x:c>
      <x:c r="AU8" s="40" t="n">
        <x:f>-('07_BS'!AU7-'07_BS'!AT7)</x:f>
        <x:v>-1661.5500000000004</x:v>
      </x:c>
      <x:c r="AV8" s="40" t="n">
        <x:f>-('07_BS'!AV7-'07_BS'!AU7)</x:f>
        <x:v>-1416.4499999999994</x:v>
      </x:c>
      <x:c r="AW8" s="40" t="n">
        <x:f>-('07_BS'!AW7-'07_BS'!AV7)</x:f>
        <x:v>9.094947017729282e-13</x:v>
      </x:c>
      <x:c r="AX8" s="40" t="n">
        <x:f>-('07_BS'!AX7-'07_BS'!AW7)</x:f>
        <x:v>2684.699999999999</x:v>
      </x:c>
      <x:c r="AY8" s="40" t="n">
        <x:f>-('07_BS'!AY7-'07_BS'!AX7)</x:f>
        <x:v>393.29999999999995</x:v>
      </x:c>
      <x:c r="AZ8" s="40" t="n">
        <x:f>-('07_BS'!AZ7-'07_BS'!AY7)</x:f>
        <x:v>2.2737367544323206e-13</x:v>
      </x:c>
      <x:c r="BA8" s="40" t="n">
        <x:f>-('07_BS'!BA7-'07_BS'!AZ7)</x:f>
        <x:v>-2.2737367544323206e-13</x:v>
      </x:c>
      <x:c r="BB8" s="40" t="n">
        <x:f>-('07_BS'!BB7-'07_BS'!BA7)</x:f>
        <x:v>-1661.5500000000004</x:v>
      </x:c>
      <x:c r="BC8" s="40" t="n">
        <x:f>-('07_BS'!BC7-'07_BS'!BB7)</x:f>
        <x:v>0</x:v>
      </x:c>
      <x:c r="BD8" s="40" t="n">
        <x:f>-('07_BS'!BD7-'07_BS'!BC7)</x:f>
        <x:v>1661.5500000000004</x:v>
      </x:c>
      <x:c r="BE8" s="40" t="n">
        <x:f>-('07_BS'!BE7-'07_BS'!BD7)</x:f>
        <x:v>2.2737367544323206e-13</x:v>
      </x:c>
      <x:c r="BF8" s="40" t="n">
        <x:f>-('07_BS'!BF7-'07_BS'!BE7)</x:f>
        <x:v>-2.2737367544323206e-13</x:v>
      </x:c>
      <x:c r="BG8" s="40" t="n">
        <x:f>-('07_BS'!BG7-'07_BS'!BF7)</x:f>
        <x:v>-1661.5500000000004</x:v>
      </x:c>
      <x:c r="BH8" s="40" t="n">
        <x:f>-('07_BS'!BH7-'07_BS'!BG7)</x:f>
        <x:v>-1416.4499999999994</x:v>
      </x:c>
      <x:c r="BI8" s="40" t="n">
        <x:f>-('07_BS'!BI7-'07_BS'!BH7)</x:f>
        <x:v>9.094947017729282e-13</x:v>
      </x:c>
      <x:c r="BJ8" s="40" t="n">
        <x:f>-('07_BS'!BJ7-'07_BS'!BI7)</x:f>
        <x:v>2684.699999999999</x:v>
      </x:c>
    </x:row>
    <x:row r="9">
      <x:c r="A9" s="12" t="str">
        <x:v>営業CF</x:v>
      </x:c>
      <x:c r="B9" s="12" t="str">
        <x:v>買掛金・未払金増減</x:v>
      </x:c>
      <x:c r="C9" s="40" t="n">
        <x:f>'07_BS'!C11-0</x:f>
        <x:v>2429.88325</x:v>
      </x:c>
      <x:c r="D9" s="40" t="n">
        <x:f>'07_BS'!D11-'07_BS'!C11</x:f>
        <x:v>-12.51612903225805</x:v>
      </x:c>
      <x:c r="E9" s="40" t="n">
        <x:f>'07_BS'!E11-'07_BS'!D11</x:f>
        <x:v>12.51612903225805</x:v>
      </x:c>
      <x:c r="F9" s="40" t="n">
        <x:f>'07_BS'!F11-'07_BS'!E11</x:f>
        <x:v>1366.5276209677422</x:v>
      </x:c>
      <x:c r="G9" s="40" t="n">
        <x:f>'07_BS'!G11-'07_BS'!F11</x:f>
        <x:v>0</x:v>
      </x:c>
      <x:c r="H9" s="40" t="n">
        <x:f>'07_BS'!H11-'07_BS'!G11</x:f>
        <x:v>-1366.5276209677422</x:v>
      </x:c>
      <x:c r="I9" s="40" t="n">
        <x:f>'07_BS'!I11-'07_BS'!H11</x:f>
        <x:v>-12.51612903225805</x:v>
      </x:c>
      <x:c r="J9" s="40" t="n">
        <x:f>'07_BS'!J11-'07_BS'!I11</x:f>
        <x:v>12.51612903225805</x:v>
      </x:c>
      <x:c r="K9" s="40" t="n">
        <x:f>'07_BS'!K11-'07_BS'!J11</x:f>
        <x:v>1366.5276209677422</x:v>
      </x:c>
      <x:c r="L9" s="40" t="n">
        <x:f>'07_BS'!L11-'07_BS'!K11</x:f>
        <x:v>1108.3222499999993</x:v>
      </x:c>
      <x:c r="M9" s="40" t="n">
        <x:f>'07_BS'!M11-'07_BS'!L11</x:f>
        <x:v>40.23041474654383</x:v>
      </x:c>
      <x:c r="N9" s="40" t="n">
        <x:f>'07_BS'!N11-'07_BS'!M11</x:f>
        <x:v>-2172.685914746544</x:v>
      </x:c>
      <x:c r="O9" s="40" t="n">
        <x:f>'07_BS'!O11-'07_BS'!N11</x:f>
        <x:v>-342.39437096774145</x:v>
      </x:c>
      <x:c r="P9" s="40" t="n">
        <x:f>'07_BS'!P11-'07_BS'!O11</x:f>
        <x:v>-12.51612903225805</x:v>
      </x:c>
      <x:c r="Q9" s="40" t="n">
        <x:f>'07_BS'!Q11-'07_BS'!P11</x:f>
        <x:v>12.51612903225805</x:v>
      </x:c>
      <x:c r="R9" s="40" t="n">
        <x:f>'07_BS'!R11-'07_BS'!Q11</x:f>
        <x:v>1366.5276209677422</x:v>
      </x:c>
      <x:c r="S9" s="40" t="n">
        <x:f>'07_BS'!S11-'07_BS'!R11</x:f>
        <x:v>0</x:v>
      </x:c>
      <x:c r="T9" s="40" t="n">
        <x:f>'07_BS'!T11-'07_BS'!S11</x:f>
        <x:v>-1366.5276209677422</x:v>
      </x:c>
      <x:c r="U9" s="40" t="n">
        <x:f>'07_BS'!U11-'07_BS'!T11</x:f>
        <x:v>-12.51612903225805</x:v>
      </x:c>
      <x:c r="V9" s="40" t="n">
        <x:f>'07_BS'!V11-'07_BS'!U11</x:f>
        <x:v>12.51612903225805</x:v>
      </x:c>
      <x:c r="W9" s="40" t="n">
        <x:f>'07_BS'!W11-'07_BS'!V11</x:f>
        <x:v>1366.5276209677422</x:v>
      </x:c>
      <x:c r="X9" s="40" t="n">
        <x:f>'07_BS'!X11-'07_BS'!W11</x:f>
        <x:v>1108.3222499999993</x:v>
      </x:c>
      <x:c r="Y9" s="40" t="n">
        <x:f>'07_BS'!Y11-'07_BS'!X11</x:f>
        <x:v>25.895439377085495</x:v>
      </x:c>
      <x:c r="Z9" s="40" t="n">
        <x:f>'07_BS'!Z11-'07_BS'!Y11</x:f>
        <x:v>-2158.3509393770855</x:v>
      </x:c>
      <x:c r="AA9" s="40" t="n">
        <x:f>'07_BS'!AA11-'07_BS'!Z11</x:f>
        <x:v>-342.39437096774145</x:v>
      </x:c>
      <x:c r="AB9" s="40" t="n">
        <x:f>'07_BS'!AB11-'07_BS'!AA11</x:f>
        <x:v>-12.51612903225805</x:v>
      </x:c>
      <x:c r="AC9" s="40" t="n">
        <x:f>'07_BS'!AC11-'07_BS'!AB11</x:f>
        <x:v>12.51612903225805</x:v>
      </x:c>
      <x:c r="AD9" s="40" t="n">
        <x:f>'07_BS'!AD11-'07_BS'!AC11</x:f>
        <x:v>1366.5276209677422</x:v>
      </x:c>
      <x:c r="AE9" s="40" t="n">
        <x:f>'07_BS'!AE11-'07_BS'!AD11</x:f>
        <x:v>0</x:v>
      </x:c>
      <x:c r="AF9" s="40" t="n">
        <x:f>'07_BS'!AF11-'07_BS'!AE11</x:f>
        <x:v>-1366.5276209677422</x:v>
      </x:c>
      <x:c r="AG9" s="40" t="n">
        <x:f>'07_BS'!AG11-'07_BS'!AF11</x:f>
        <x:v>-12.51612903225805</x:v>
      </x:c>
      <x:c r="AH9" s="40" t="n">
        <x:f>'07_BS'!AH11-'07_BS'!AG11</x:f>
        <x:v>12.51612903225805</x:v>
      </x:c>
      <x:c r="AI9" s="40" t="n">
        <x:f>'07_BS'!AI11-'07_BS'!AH11</x:f>
        <x:v>1366.5276209677422</x:v>
      </x:c>
      <x:c r="AJ9" s="40" t="n">
        <x:f>'07_BS'!AJ11-'07_BS'!AI11</x:f>
        <x:v>1108.3222499999993</x:v>
      </x:c>
      <x:c r="AK9" s="40" t="n">
        <x:f>'07_BS'!AK11-'07_BS'!AJ11</x:f>
        <x:v>40.23041474654383</x:v>
      </x:c>
      <x:c r="AL9" s="40" t="n">
        <x:f>'07_BS'!AL11-'07_BS'!AK11</x:f>
        <x:v>-2172.685914746544</x:v>
      </x:c>
      <x:c r="AM9" s="40" t="n">
        <x:f>'07_BS'!AM11-'07_BS'!AL11</x:f>
        <x:v>-342.39437096774145</x:v>
      </x:c>
      <x:c r="AN9" s="40" t="n">
        <x:f>'07_BS'!AN11-'07_BS'!AM11</x:f>
        <x:v>-12.51612903225805</x:v>
      </x:c>
      <x:c r="AO9" s="40" t="n">
        <x:f>'07_BS'!AO11-'07_BS'!AN11</x:f>
        <x:v>12.51612903225805</x:v>
      </x:c>
      <x:c r="AP9" s="40" t="n">
        <x:f>'07_BS'!AP11-'07_BS'!AO11</x:f>
        <x:v>1366.5276209677422</x:v>
      </x:c>
      <x:c r="AQ9" s="40" t="n">
        <x:f>'07_BS'!AQ11-'07_BS'!AP11</x:f>
        <x:v>0</x:v>
      </x:c>
      <x:c r="AR9" s="40" t="n">
        <x:f>'07_BS'!AR11-'07_BS'!AQ11</x:f>
        <x:v>-1366.5276209677422</x:v>
      </x:c>
      <x:c r="AS9" s="40" t="n">
        <x:f>'07_BS'!AS11-'07_BS'!AR11</x:f>
        <x:v>-12.51612903225805</x:v>
      </x:c>
      <x:c r="AT9" s="40" t="n">
        <x:f>'07_BS'!AT11-'07_BS'!AS11</x:f>
        <x:v>12.51612903225805</x:v>
      </x:c>
      <x:c r="AU9" s="40" t="n">
        <x:f>'07_BS'!AU11-'07_BS'!AT11</x:f>
        <x:v>1366.5276209677422</x:v>
      </x:c>
      <x:c r="AV9" s="40" t="n">
        <x:f>'07_BS'!AV11-'07_BS'!AU11</x:f>
        <x:v>1108.3222499999993</x:v>
      </x:c>
      <x:c r="AW9" s="40" t="n">
        <x:f>'07_BS'!AW11-'07_BS'!AV11</x:f>
        <x:v>40.23041474654383</x:v>
      </x:c>
      <x:c r="AX9" s="40" t="n">
        <x:f>'07_BS'!AX11-'07_BS'!AW11</x:f>
        <x:v>-2172.685914746544</x:v>
      </x:c>
      <x:c r="AY9" s="40" t="n">
        <x:f>'07_BS'!AY11-'07_BS'!AX11</x:f>
        <x:v>-342.39437096774145</x:v>
      </x:c>
      <x:c r="AZ9" s="40" t="n">
        <x:f>'07_BS'!AZ11-'07_BS'!AY11</x:f>
        <x:v>-12.51612903225805</x:v>
      </x:c>
      <x:c r="BA9" s="40" t="n">
        <x:f>'07_BS'!BA11-'07_BS'!AZ11</x:f>
        <x:v>12.51612903225805</x:v>
      </x:c>
      <x:c r="BB9" s="40" t="n">
        <x:f>'07_BS'!BB11-'07_BS'!BA11</x:f>
        <x:v>1366.5276209677422</x:v>
      </x:c>
      <x:c r="BC9" s="40" t="n">
        <x:f>'07_BS'!BC11-'07_BS'!BB11</x:f>
        <x:v>0</x:v>
      </x:c>
      <x:c r="BD9" s="40" t="n">
        <x:f>'07_BS'!BD11-'07_BS'!BC11</x:f>
        <x:v>-1366.5276209677422</x:v>
      </x:c>
      <x:c r="BE9" s="40" t="n">
        <x:f>'07_BS'!BE11-'07_BS'!BD11</x:f>
        <x:v>-12.51612903225805</x:v>
      </x:c>
      <x:c r="BF9" s="40" t="n">
        <x:f>'07_BS'!BF11-'07_BS'!BE11</x:f>
        <x:v>12.51612903225805</x:v>
      </x:c>
      <x:c r="BG9" s="40" t="n">
        <x:f>'07_BS'!BG11-'07_BS'!BF11</x:f>
        <x:v>1366.5276209677422</x:v>
      </x:c>
      <x:c r="BH9" s="40" t="n">
        <x:f>'07_BS'!BH11-'07_BS'!BG11</x:f>
        <x:v>1108.3222499999993</x:v>
      </x:c>
      <x:c r="BI9" s="40" t="n">
        <x:f>'07_BS'!BI11-'07_BS'!BH11</x:f>
        <x:v>40.23041474654383</x:v>
      </x:c>
      <x:c r="BJ9" s="40" t="n">
        <x:f>'07_BS'!BJ11-'07_BS'!BI11</x:f>
        <x:v>-2172.685914746544</x:v>
      </x:c>
    </x:row>
    <x:row r="10">
      <x:c r="A10" s="12" t="str">
        <x:v>営業CF</x:v>
      </x:c>
      <x:c r="B10" s="12" t="str">
        <x:v>その他運転資本増減</x:v>
      </x:c>
      <x:c r="C10" s="40" t="n">
        <x:f>-('07_BS'!C8-0)+('07_BS'!C13-0)</x:f>
        <x:v>0</x:v>
      </x:c>
      <x:c r="D10" s="40" t="n">
        <x:f>-('07_BS'!D8-'07_BS'!C8)+('07_BS'!D13-'07_BS'!C13)</x:f>
        <x:v>0</x:v>
      </x:c>
      <x:c r="E10" s="40" t="n">
        <x:f>-('07_BS'!E8-'07_BS'!D8)+('07_BS'!E13-'07_BS'!D13)</x:f>
        <x:v>0</x:v>
      </x:c>
      <x:c r="F10" s="40" t="n">
        <x:f>-('07_BS'!F8-'07_BS'!E8)+('07_BS'!F13-'07_BS'!E13)</x:f>
        <x:v>0</x:v>
      </x:c>
      <x:c r="G10" s="40" t="n">
        <x:f>-('07_BS'!G8-'07_BS'!F8)+('07_BS'!G13-'07_BS'!F13)</x:f>
        <x:v>0</x:v>
      </x:c>
      <x:c r="H10" s="40" t="n">
        <x:f>-('07_BS'!H8-'07_BS'!G8)+('07_BS'!H13-'07_BS'!G13)</x:f>
        <x:v>0</x:v>
      </x:c>
      <x:c r="I10" s="40" t="n">
        <x:f>-('07_BS'!I8-'07_BS'!H8)+('07_BS'!I13-'07_BS'!H13)</x:f>
        <x:v>0</x:v>
      </x:c>
      <x:c r="J10" s="40" t="n">
        <x:f>-('07_BS'!J8-'07_BS'!I8)+('07_BS'!J13-'07_BS'!I13)</x:f>
        <x:v>0</x:v>
      </x:c>
      <x:c r="K10" s="40" t="n">
        <x:f>-('07_BS'!K8-'07_BS'!J8)+('07_BS'!K13-'07_BS'!J13)</x:f>
        <x:v>0</x:v>
      </x:c>
      <x:c r="L10" s="40" t="n">
        <x:f>-('07_BS'!L8-'07_BS'!K8)+('07_BS'!L13-'07_BS'!K13)</x:f>
        <x:v>0</x:v>
      </x:c>
      <x:c r="M10" s="40" t="n">
        <x:f>-('07_BS'!M8-'07_BS'!L8)+('07_BS'!M13-'07_BS'!L13)</x:f>
        <x:v>0</x:v>
      </x:c>
      <x:c r="N10" s="40" t="n">
        <x:f>-('07_BS'!N8-'07_BS'!M8)+('07_BS'!N13-'07_BS'!M13)</x:f>
        <x:v>0</x:v>
      </x:c>
      <x:c r="O10" s="40" t="n">
        <x:f>-('07_BS'!O8-'07_BS'!N8)+('07_BS'!O13-'07_BS'!N13)</x:f>
        <x:v>0</x:v>
      </x:c>
      <x:c r="P10" s="40" t="n">
        <x:f>-('07_BS'!P8-'07_BS'!O8)+('07_BS'!P13-'07_BS'!O13)</x:f>
        <x:v>0</x:v>
      </x:c>
      <x:c r="Q10" s="40" t="n">
        <x:f>-('07_BS'!Q8-'07_BS'!P8)+('07_BS'!Q13-'07_BS'!P13)</x:f>
        <x:v>0</x:v>
      </x:c>
      <x:c r="R10" s="40" t="n">
        <x:f>-('07_BS'!R8-'07_BS'!Q8)+('07_BS'!R13-'07_BS'!Q13)</x:f>
        <x:v>0</x:v>
      </x:c>
      <x:c r="S10" s="40" t="n">
        <x:f>-('07_BS'!S8-'07_BS'!R8)+('07_BS'!S13-'07_BS'!R13)</x:f>
        <x:v>0</x:v>
      </x:c>
      <x:c r="T10" s="40" t="n">
        <x:f>-('07_BS'!T8-'07_BS'!S8)+('07_BS'!T13-'07_BS'!S13)</x:f>
        <x:v>0</x:v>
      </x:c>
      <x:c r="U10" s="40" t="n">
        <x:f>-('07_BS'!U8-'07_BS'!T8)+('07_BS'!U13-'07_BS'!T13)</x:f>
        <x:v>0</x:v>
      </x:c>
      <x:c r="V10" s="40" t="n">
        <x:f>-('07_BS'!V8-'07_BS'!U8)+('07_BS'!V13-'07_BS'!U13)</x:f>
        <x:v>0</x:v>
      </x:c>
      <x:c r="W10" s="40" t="n">
        <x:f>-('07_BS'!W8-'07_BS'!V8)+('07_BS'!W13-'07_BS'!V13)</x:f>
        <x:v>0</x:v>
      </x:c>
      <x:c r="X10" s="40" t="n">
        <x:f>-('07_BS'!X8-'07_BS'!W8)+('07_BS'!X13-'07_BS'!W13)</x:f>
        <x:v>0</x:v>
      </x:c>
      <x:c r="Y10" s="40" t="n">
        <x:f>-('07_BS'!Y8-'07_BS'!X8)+('07_BS'!Y13-'07_BS'!X13)</x:f>
        <x:v>0</x:v>
      </x:c>
      <x:c r="Z10" s="40" t="n">
        <x:f>-('07_BS'!Z8-'07_BS'!Y8)+('07_BS'!Z13-'07_BS'!Y13)</x:f>
        <x:v>0</x:v>
      </x:c>
      <x:c r="AA10" s="40" t="n">
        <x:f>-('07_BS'!AA8-'07_BS'!Z8)+('07_BS'!AA13-'07_BS'!Z13)</x:f>
        <x:v>0</x:v>
      </x:c>
      <x:c r="AB10" s="40" t="n">
        <x:f>-('07_BS'!AB8-'07_BS'!AA8)+('07_BS'!AB13-'07_BS'!AA13)</x:f>
        <x:v>0</x:v>
      </x:c>
      <x:c r="AC10" s="40" t="n">
        <x:f>-('07_BS'!AC8-'07_BS'!AB8)+('07_BS'!AC13-'07_BS'!AB13)</x:f>
        <x:v>0</x:v>
      </x:c>
      <x:c r="AD10" s="40" t="n">
        <x:f>-('07_BS'!AD8-'07_BS'!AC8)+('07_BS'!AD13-'07_BS'!AC13)</x:f>
        <x:v>0</x:v>
      </x:c>
      <x:c r="AE10" s="40" t="n">
        <x:f>-('07_BS'!AE8-'07_BS'!AD8)+('07_BS'!AE13-'07_BS'!AD13)</x:f>
        <x:v>0</x:v>
      </x:c>
      <x:c r="AF10" s="40" t="n">
        <x:f>-('07_BS'!AF8-'07_BS'!AE8)+('07_BS'!AF13-'07_BS'!AE13)</x:f>
        <x:v>0</x:v>
      </x:c>
      <x:c r="AG10" s="40" t="n">
        <x:f>-('07_BS'!AG8-'07_BS'!AF8)+('07_BS'!AG13-'07_BS'!AF13)</x:f>
        <x:v>0</x:v>
      </x:c>
      <x:c r="AH10" s="40" t="n">
        <x:f>-('07_BS'!AH8-'07_BS'!AG8)+('07_BS'!AH13-'07_BS'!AG13)</x:f>
        <x:v>0</x:v>
      </x:c>
      <x:c r="AI10" s="40" t="n">
        <x:f>-('07_BS'!AI8-'07_BS'!AH8)+('07_BS'!AI13-'07_BS'!AH13)</x:f>
        <x:v>0</x:v>
      </x:c>
      <x:c r="AJ10" s="40" t="n">
        <x:f>-('07_BS'!AJ8-'07_BS'!AI8)+('07_BS'!AJ13-'07_BS'!AI13)</x:f>
        <x:v>0</x:v>
      </x:c>
      <x:c r="AK10" s="40" t="n">
        <x:f>-('07_BS'!AK8-'07_BS'!AJ8)+('07_BS'!AK13-'07_BS'!AJ13)</x:f>
        <x:v>0</x:v>
      </x:c>
      <x:c r="AL10" s="40" t="n">
        <x:f>-('07_BS'!AL8-'07_BS'!AK8)+('07_BS'!AL13-'07_BS'!AK13)</x:f>
        <x:v>0</x:v>
      </x:c>
      <x:c r="AM10" s="40" t="n">
        <x:f>-('07_BS'!AM8-'07_BS'!AL8)+('07_BS'!AM13-'07_BS'!AL13)</x:f>
        <x:v>0</x:v>
      </x:c>
      <x:c r="AN10" s="40" t="n">
        <x:f>-('07_BS'!AN8-'07_BS'!AM8)+('07_BS'!AN13-'07_BS'!AM13)</x:f>
        <x:v>0</x:v>
      </x:c>
      <x:c r="AO10" s="40" t="n">
        <x:f>-('07_BS'!AO8-'07_BS'!AN8)+('07_BS'!AO13-'07_BS'!AN13)</x:f>
        <x:v>0</x:v>
      </x:c>
      <x:c r="AP10" s="40" t="n">
        <x:f>-('07_BS'!AP8-'07_BS'!AO8)+('07_BS'!AP13-'07_BS'!AO13)</x:f>
        <x:v>0</x:v>
      </x:c>
      <x:c r="AQ10" s="40" t="n">
        <x:f>-('07_BS'!AQ8-'07_BS'!AP8)+('07_BS'!AQ13-'07_BS'!AP13)</x:f>
        <x:v>0</x:v>
      </x:c>
      <x:c r="AR10" s="40" t="n">
        <x:f>-('07_BS'!AR8-'07_BS'!AQ8)+('07_BS'!AR13-'07_BS'!AQ13)</x:f>
        <x:v>0</x:v>
      </x:c>
      <x:c r="AS10" s="40" t="n">
        <x:f>-('07_BS'!AS8-'07_BS'!AR8)+('07_BS'!AS13-'07_BS'!AR13)</x:f>
        <x:v>0</x:v>
      </x:c>
      <x:c r="AT10" s="40" t="n">
        <x:f>-('07_BS'!AT8-'07_BS'!AS8)+('07_BS'!AT13-'07_BS'!AS13)</x:f>
        <x:v>0</x:v>
      </x:c>
      <x:c r="AU10" s="40" t="n">
        <x:f>-('07_BS'!AU8-'07_BS'!AT8)+('07_BS'!AU13-'07_BS'!AT13)</x:f>
        <x:v>0</x:v>
      </x:c>
      <x:c r="AV10" s="40" t="n">
        <x:f>-('07_BS'!AV8-'07_BS'!AU8)+('07_BS'!AV13-'07_BS'!AU13)</x:f>
        <x:v>0</x:v>
      </x:c>
      <x:c r="AW10" s="40" t="n">
        <x:f>-('07_BS'!AW8-'07_BS'!AV8)+('07_BS'!AW13-'07_BS'!AV13)</x:f>
        <x:v>0</x:v>
      </x:c>
      <x:c r="AX10" s="40" t="n">
        <x:f>-('07_BS'!AX8-'07_BS'!AW8)+('07_BS'!AX13-'07_BS'!AW13)</x:f>
        <x:v>0</x:v>
      </x:c>
      <x:c r="AY10" s="40" t="n">
        <x:f>-('07_BS'!AY8-'07_BS'!AX8)+('07_BS'!AY13-'07_BS'!AX13)</x:f>
        <x:v>0</x:v>
      </x:c>
      <x:c r="AZ10" s="40" t="n">
        <x:f>-('07_BS'!AZ8-'07_BS'!AY8)+('07_BS'!AZ13-'07_BS'!AY13)</x:f>
        <x:v>0</x:v>
      </x:c>
      <x:c r="BA10" s="40" t="n">
        <x:f>-('07_BS'!BA8-'07_BS'!AZ8)+('07_BS'!BA13-'07_BS'!AZ13)</x:f>
        <x:v>0</x:v>
      </x:c>
      <x:c r="BB10" s="40" t="n">
        <x:f>-('07_BS'!BB8-'07_BS'!BA8)+('07_BS'!BB13-'07_BS'!BA13)</x:f>
        <x:v>0</x:v>
      </x:c>
      <x:c r="BC10" s="40" t="n">
        <x:f>-('07_BS'!BC8-'07_BS'!BB8)+('07_BS'!BC13-'07_BS'!BB13)</x:f>
        <x:v>0</x:v>
      </x:c>
      <x:c r="BD10" s="40" t="n">
        <x:f>-('07_BS'!BD8-'07_BS'!BC8)+('07_BS'!BD13-'07_BS'!BC13)</x:f>
        <x:v>0</x:v>
      </x:c>
      <x:c r="BE10" s="40" t="n">
        <x:f>-('07_BS'!BE8-'07_BS'!BD8)+('07_BS'!BE13-'07_BS'!BD13)</x:f>
        <x:v>0</x:v>
      </x:c>
      <x:c r="BF10" s="40" t="n">
        <x:f>-('07_BS'!BF8-'07_BS'!BE8)+('07_BS'!BF13-'07_BS'!BE13)</x:f>
        <x:v>0</x:v>
      </x:c>
      <x:c r="BG10" s="40" t="n">
        <x:f>-('07_BS'!BG8-'07_BS'!BF8)+('07_BS'!BG13-'07_BS'!BF13)</x:f>
        <x:v>0</x:v>
      </x:c>
      <x:c r="BH10" s="40" t="n">
        <x:f>-('07_BS'!BH8-'07_BS'!BG8)+('07_BS'!BH13-'07_BS'!BG13)</x:f>
        <x:v>0</x:v>
      </x:c>
      <x:c r="BI10" s="40" t="n">
        <x:f>-('07_BS'!BI8-'07_BS'!BH8)+('07_BS'!BI13-'07_BS'!BH13)</x:f>
        <x:v>0</x:v>
      </x:c>
      <x:c r="BJ10" s="40" t="n">
        <x:f>-('07_BS'!BJ8-'07_BS'!BI8)+('07_BS'!BJ13-'07_BS'!BI13)</x:f>
        <x:v>0</x:v>
      </x:c>
    </x:row>
    <x:row r="11">
      <x:c r="A11" s="12" t="str">
        <x:v>営業CF</x:v>
      </x:c>
      <x:c r="B11" s="12" t="str">
        <x:v>営業CF</x:v>
      </x:c>
      <x:c r="C11" s="40" t="n">
        <x:f>SUM(C6:C10)</x:f>
        <x:v>1127.1401666666666</x:v>
      </x:c>
      <x:c r="D11" s="40" t="n">
        <x:f>SUM(D6:D10)</x:f>
        <x:v>-60.12453736559121</x:v>
      </x:c>
      <x:c r="E11" s="40" t="n">
        <x:f>SUM(E6:E10)</x:f>
        <x:v>-44.77695430107542</x:v>
      </x:c>
      <x:c r="F11" s="40" t="n">
        <x:f>SUM(F6:F10)</x:f>
        <x:v>957.218587634409</x:v>
      </x:c>
      <x:c r="G11" s="40" t="n">
        <x:f>SUM(G6:G10)</x:f>
        <x:v>1252.2409666666672</x:v>
      </x:c>
      <x:c r="H11" s="40" t="n">
        <x:f>SUM(H6:H10)</x:f>
        <x:v>237.72929569892494</x:v>
      </x:c>
      <x:c r="I11" s="40" t="n">
        <x:f>SUM(I6:I10)</x:f>
        <x:v>-60.12453736559121</x:v>
      </x:c>
      <x:c r="J11" s="40" t="n">
        <x:f>SUM(J6:J10)</x:f>
        <x:v>-44.77695430107542</x:v>
      </x:c>
      <x:c r="K11" s="40" t="n">
        <x:f>SUM(K6:K10)</x:f>
        <x:v>957.218587634409</x:v>
      </x:c>
      <x:c r="L11" s="40" t="n">
        <x:f>SUM(L6:L10)</x:f>
        <x:v>2097.213241666666</x:v>
      </x:c>
      <x:c r="M11" s="40" t="n">
        <x:f>SUM(M6:M10)</x:f>
        <x:v>2179.1351814132104</x:v>
      </x:c>
      <x:c r="N11" s="40" t="n">
        <x:f>SUM(N6:N10)</x:f>
        <x:v>753.0451269201217</x:v>
      </x:c>
      <x:c r="O11" s="40" t="n">
        <x:f>SUM(O6:O10)</x:f>
        <x:v>-6.38745430107474</x:v>
      </x:c>
      <x:c r="P11" s="40" t="n">
        <x:f>SUM(P6:P10)</x:f>
        <x:v>-60.12453736559121</x:v>
      </x:c>
      <x:c r="Q11" s="40" t="n">
        <x:f>SUM(Q6:Q10)</x:f>
        <x:v>-44.77695430107542</x:v>
      </x:c>
      <x:c r="R11" s="40" t="n">
        <x:f>SUM(R6:R10)</x:f>
        <x:v>957.218587634409</x:v>
      </x:c>
      <x:c r="S11" s="40" t="n">
        <x:f>SUM(S6:S10)</x:f>
        <x:v>1252.2409666666672</x:v>
      </x:c>
      <x:c r="T11" s="40" t="n">
        <x:f>SUM(T6:T10)</x:f>
        <x:v>237.72929569892494</x:v>
      </x:c>
      <x:c r="U11" s="40" t="n">
        <x:f>SUM(U6:U10)</x:f>
        <x:v>-60.12453736559121</x:v>
      </x:c>
      <x:c r="V11" s="40" t="n">
        <x:f>SUM(V6:V10)</x:f>
        <x:v>-44.77695430107542</x:v>
      </x:c>
      <x:c r="W11" s="40" t="n">
        <x:f>SUM(W6:W10)</x:f>
        <x:v>957.218587634409</x:v>
      </x:c>
      <x:c r="X11" s="40" t="n">
        <x:f>SUM(X6:X10)</x:f>
        <x:v>2097.213241666666</x:v>
      </x:c>
      <x:c r="Y11" s="40" t="n">
        <x:f>SUM(Y6:Y10)</x:f>
        <x:v>2253.612281043752</x:v>
      </x:c>
      <x:c r="Z11" s="40" t="n">
        <x:f>SUM(Z6:Z10)</x:f>
        <x:v>767.3801022895809</x:v>
      </x:c>
      <x:c r="AA11" s="40" t="n">
        <x:f>SUM(AA6:AA10)</x:f>
        <x:v>-6.38745430107474</x:v>
      </x:c>
      <x:c r="AB11" s="40" t="n">
        <x:f>SUM(AB6:AB10)</x:f>
        <x:v>-60.12453736559121</x:v>
      </x:c>
      <x:c r="AC11" s="40" t="n">
        <x:f>SUM(AC6:AC10)</x:f>
        <x:v>-44.77695430107542</x:v>
      </x:c>
      <x:c r="AD11" s="40" t="n">
        <x:f>SUM(AD6:AD10)</x:f>
        <x:v>957.218587634409</x:v>
      </x:c>
      <x:c r="AE11" s="40" t="n">
        <x:f>SUM(AE6:AE10)</x:f>
        <x:v>1252.2409666666672</x:v>
      </x:c>
      <x:c r="AF11" s="40" t="n">
        <x:f>SUM(AF6:AF10)</x:f>
        <x:v>237.72929569892494</x:v>
      </x:c>
      <x:c r="AG11" s="40" t="n">
        <x:f>SUM(AG6:AG10)</x:f>
        <x:v>-60.12453736559121</x:v>
      </x:c>
      <x:c r="AH11" s="40" t="n">
        <x:f>SUM(AH6:AH10)</x:f>
        <x:v>-44.77695430107542</x:v>
      </x:c>
      <x:c r="AI11" s="40" t="n">
        <x:f>SUM(AI6:AI10)</x:f>
        <x:v>957.218587634409</x:v>
      </x:c>
      <x:c r="AJ11" s="40" t="n">
        <x:f>SUM(AJ6:AJ10)</x:f>
        <x:v>2097.213241666666</x:v>
      </x:c>
      <x:c r="AK11" s="40" t="n">
        <x:f>SUM(AK6:AK10)</x:f>
        <x:v>2179.1351814132104</x:v>
      </x:c>
      <x:c r="AL11" s="40" t="n">
        <x:f>SUM(AL6:AL10)</x:f>
        <x:v>753.0451269201217</x:v>
      </x:c>
      <x:c r="AM11" s="40" t="n">
        <x:f>SUM(AM6:AM10)</x:f>
        <x:v>-6.38745430107474</x:v>
      </x:c>
      <x:c r="AN11" s="40" t="n">
        <x:f>SUM(AN6:AN10)</x:f>
        <x:v>-60.12453736559121</x:v>
      </x:c>
      <x:c r="AO11" s="40" t="n">
        <x:f>SUM(AO6:AO10)</x:f>
        <x:v>-44.77695430107542</x:v>
      </x:c>
      <x:c r="AP11" s="40" t="n">
        <x:f>SUM(AP6:AP10)</x:f>
        <x:v>957.218587634409</x:v>
      </x:c>
      <x:c r="AQ11" s="40" t="n">
        <x:f>SUM(AQ6:AQ10)</x:f>
        <x:v>1252.2409666666672</x:v>
      </x:c>
      <x:c r="AR11" s="40" t="n">
        <x:f>SUM(AR6:AR10)</x:f>
        <x:v>237.72929569892494</x:v>
      </x:c>
      <x:c r="AS11" s="40" t="n">
        <x:f>SUM(AS6:AS10)</x:f>
        <x:v>-60.12453736559121</x:v>
      </x:c>
      <x:c r="AT11" s="40" t="n">
        <x:f>SUM(AT6:AT10)</x:f>
        <x:v>-44.77695430107542</x:v>
      </x:c>
      <x:c r="AU11" s="40" t="n">
        <x:f>SUM(AU6:AU10)</x:f>
        <x:v>957.218587634409</x:v>
      </x:c>
      <x:c r="AV11" s="40" t="n">
        <x:f>SUM(AV6:AV10)</x:f>
        <x:v>2097.213241666666</x:v>
      </x:c>
      <x:c r="AW11" s="40" t="n">
        <x:f>SUM(AW6:AW10)</x:f>
        <x:v>2179.1351814132104</x:v>
      </x:c>
      <x:c r="AX11" s="40" t="n">
        <x:f>SUM(AX6:AX10)</x:f>
        <x:v>753.0451269201217</x:v>
      </x:c>
      <x:c r="AY11" s="40" t="n">
        <x:f>SUM(AY6:AY10)</x:f>
        <x:v>-6.38745430107474</x:v>
      </x:c>
      <x:c r="AZ11" s="40" t="n">
        <x:f>SUM(AZ6:AZ10)</x:f>
        <x:v>-60.12453736559121</x:v>
      </x:c>
      <x:c r="BA11" s="40" t="n">
        <x:f>SUM(BA6:BA10)</x:f>
        <x:v>-44.77695430107542</x:v>
      </x:c>
      <x:c r="BB11" s="40" t="n">
        <x:f>SUM(BB6:BB10)</x:f>
        <x:v>957.218587634409</x:v>
      </x:c>
      <x:c r="BC11" s="40" t="n">
        <x:f>SUM(BC6:BC10)</x:f>
        <x:v>1252.2409666666672</x:v>
      </x:c>
      <x:c r="BD11" s="40" t="n">
        <x:f>SUM(BD6:BD10)</x:f>
        <x:v>237.72929569892494</x:v>
      </x:c>
      <x:c r="BE11" s="40" t="n">
        <x:f>SUM(BE6:BE10)</x:f>
        <x:v>-60.12453736559121</x:v>
      </x:c>
      <x:c r="BF11" s="40" t="n">
        <x:f>SUM(BF6:BF10)</x:f>
        <x:v>-44.77695430107542</x:v>
      </x:c>
      <x:c r="BG11" s="40" t="n">
        <x:f>SUM(BG6:BG10)</x:f>
        <x:v>957.218587634409</x:v>
      </x:c>
      <x:c r="BH11" s="40" t="n">
        <x:f>SUM(BH6:BH10)</x:f>
        <x:v>2097.213241666666</x:v>
      </x:c>
      <x:c r="BI11" s="40" t="n">
        <x:f>SUM(BI6:BI10)</x:f>
        <x:v>2179.1351814132104</x:v>
      </x:c>
      <x:c r="BJ11" s="40" t="n">
        <x:f>SUM(BJ6:BJ10)</x:f>
        <x:v>753.0451269201217</x:v>
      </x:c>
    </x:row>
    <x:row r="12">
      <x:c r="A12" s="12" t="str">
        <x:v>投資CF</x:v>
      </x:c>
      <x:c r="B12" s="12" t="str">
        <x:v>設備投資</x:v>
      </x:c>
      <x:c r="C12" s="40" t="n">
        <x:f>-'01_入力ページ'!C56</x:f>
        <x:v>0</x:v>
      </x:c>
      <x:c r="D12" s="40" t="n">
        <x:f>-'01_入力ページ'!D56</x:f>
        <x:v>0</x:v>
      </x:c>
      <x:c r="E12" s="40" t="n">
        <x:f>-'01_入力ページ'!E56</x:f>
        <x:v>0</x:v>
      </x:c>
      <x:c r="F12" s="40" t="n">
        <x:f>-'01_入力ページ'!F56</x:f>
        <x:v>0</x:v>
      </x:c>
      <x:c r="G12" s="40" t="n">
        <x:f>-'01_入力ページ'!G56</x:f>
        <x:v>0</x:v>
      </x:c>
      <x:c r="H12" s="40" t="n">
        <x:f>-'01_入力ページ'!H56</x:f>
        <x:v>0</x:v>
      </x:c>
      <x:c r="I12" s="40" t="n">
        <x:f>-'01_入力ページ'!I56</x:f>
        <x:v>0</x:v>
      </x:c>
      <x:c r="J12" s="40" t="n">
        <x:f>-'01_入力ページ'!J56</x:f>
        <x:v>0</x:v>
      </x:c>
      <x:c r="K12" s="40" t="n">
        <x:f>-'01_入力ページ'!K56</x:f>
        <x:v>0</x:v>
      </x:c>
      <x:c r="L12" s="40" t="n">
        <x:f>-'01_入力ページ'!L56</x:f>
        <x:v>0</x:v>
      </x:c>
      <x:c r="M12" s="40" t="n">
        <x:f>-'01_入力ページ'!M56</x:f>
        <x:v>0</x:v>
      </x:c>
      <x:c r="N12" s="40" t="n">
        <x:f>-'01_入力ページ'!N56</x:f>
        <x:v>0</x:v>
      </x:c>
      <x:c r="O12" s="40" t="n">
        <x:f>-'01_入力ページ'!O56</x:f>
        <x:v>0</x:v>
      </x:c>
      <x:c r="P12" s="40" t="n">
        <x:f>-'01_入力ページ'!P56</x:f>
        <x:v>0</x:v>
      </x:c>
      <x:c r="Q12" s="40" t="n">
        <x:f>-'01_入力ページ'!Q56</x:f>
        <x:v>0</x:v>
      </x:c>
      <x:c r="R12" s="40" t="n">
        <x:f>-'01_入力ページ'!R56</x:f>
        <x:v>0</x:v>
      </x:c>
      <x:c r="S12" s="40" t="n">
        <x:f>-'01_入力ページ'!S56</x:f>
        <x:v>0</x:v>
      </x:c>
      <x:c r="T12" s="40" t="n">
        <x:f>-'01_入力ページ'!T56</x:f>
        <x:v>0</x:v>
      </x:c>
      <x:c r="U12" s="40" t="n">
        <x:f>-'01_入力ページ'!U56</x:f>
        <x:v>0</x:v>
      </x:c>
      <x:c r="V12" s="40" t="n">
        <x:f>-'01_入力ページ'!V56</x:f>
        <x:v>0</x:v>
      </x:c>
      <x:c r="W12" s="40" t="n">
        <x:f>-'01_入力ページ'!W56</x:f>
        <x:v>0</x:v>
      </x:c>
      <x:c r="X12" s="40" t="n">
        <x:f>-'01_入力ページ'!X56</x:f>
        <x:v>0</x:v>
      </x:c>
      <x:c r="Y12" s="40" t="n">
        <x:f>-'01_入力ページ'!Y56</x:f>
        <x:v>0</x:v>
      </x:c>
      <x:c r="Z12" s="40" t="n">
        <x:f>-'01_入力ページ'!Z56</x:f>
        <x:v>0</x:v>
      </x:c>
      <x:c r="AA12" s="40" t="n">
        <x:f>-'01_入力ページ'!AA56</x:f>
        <x:v>0</x:v>
      </x:c>
      <x:c r="AB12" s="40" t="n">
        <x:f>-'01_入力ページ'!AB56</x:f>
        <x:v>0</x:v>
      </x:c>
      <x:c r="AC12" s="40" t="n">
        <x:f>-'01_入力ページ'!AC56</x:f>
        <x:v>0</x:v>
      </x:c>
      <x:c r="AD12" s="40" t="n">
        <x:f>-'01_入力ページ'!AD56</x:f>
        <x:v>0</x:v>
      </x:c>
      <x:c r="AE12" s="40" t="n">
        <x:f>-'01_入力ページ'!AE56</x:f>
        <x:v>0</x:v>
      </x:c>
      <x:c r="AF12" s="40" t="n">
        <x:f>-'01_入力ページ'!AF56</x:f>
        <x:v>0</x:v>
      </x:c>
      <x:c r="AG12" s="40" t="n">
        <x:f>-'01_入力ページ'!AG56</x:f>
        <x:v>0</x:v>
      </x:c>
      <x:c r="AH12" s="40" t="n">
        <x:f>-'01_入力ページ'!AH56</x:f>
        <x:v>0</x:v>
      </x:c>
      <x:c r="AI12" s="40" t="n">
        <x:f>-'01_入力ページ'!AI56</x:f>
        <x:v>0</x:v>
      </x:c>
      <x:c r="AJ12" s="40" t="n">
        <x:f>-'01_入力ページ'!AJ56</x:f>
        <x:v>0</x:v>
      </x:c>
      <x:c r="AK12" s="40" t="n">
        <x:f>-'01_入力ページ'!AK56</x:f>
        <x:v>0</x:v>
      </x:c>
      <x:c r="AL12" s="40" t="n">
        <x:f>-'01_入力ページ'!AL56</x:f>
        <x:v>0</x:v>
      </x:c>
      <x:c r="AM12" s="40" t="n">
        <x:f>-'01_入力ページ'!AM56</x:f>
        <x:v>0</x:v>
      </x:c>
      <x:c r="AN12" s="40" t="n">
        <x:f>-'01_入力ページ'!AN56</x:f>
        <x:v>0</x:v>
      </x:c>
      <x:c r="AO12" s="40" t="n">
        <x:f>-'01_入力ページ'!AO56</x:f>
        <x:v>0</x:v>
      </x:c>
      <x:c r="AP12" s="40" t="n">
        <x:f>-'01_入力ページ'!AP56</x:f>
        <x:v>0</x:v>
      </x:c>
      <x:c r="AQ12" s="40" t="n">
        <x:f>-'01_入力ページ'!AQ56</x:f>
        <x:v>0</x:v>
      </x:c>
      <x:c r="AR12" s="40" t="n">
        <x:f>-'01_入力ページ'!AR56</x:f>
        <x:v>0</x:v>
      </x:c>
      <x:c r="AS12" s="40" t="n">
        <x:f>-'01_入力ページ'!AS56</x:f>
        <x:v>0</x:v>
      </x:c>
      <x:c r="AT12" s="40" t="n">
        <x:f>-'01_入力ページ'!AT56</x:f>
        <x:v>0</x:v>
      </x:c>
      <x:c r="AU12" s="40" t="n">
        <x:f>-'01_入力ページ'!AU56</x:f>
        <x:v>0</x:v>
      </x:c>
      <x:c r="AV12" s="40" t="n">
        <x:f>-'01_入力ページ'!AV56</x:f>
        <x:v>0</x:v>
      </x:c>
      <x:c r="AW12" s="40" t="n">
        <x:f>-'01_入力ページ'!AW56</x:f>
        <x:v>0</x:v>
      </x:c>
      <x:c r="AX12" s="40" t="n">
        <x:f>-'01_入力ページ'!AX56</x:f>
        <x:v>0</x:v>
      </x:c>
      <x:c r="AY12" s="40" t="n">
        <x:f>-'01_入力ページ'!AY56</x:f>
        <x:v>0</x:v>
      </x:c>
      <x:c r="AZ12" s="40" t="n">
        <x:f>-'01_入力ページ'!AZ56</x:f>
        <x:v>0</x:v>
      </x:c>
      <x:c r="BA12" s="40" t="n">
        <x:f>-'01_入力ページ'!BA56</x:f>
        <x:v>0</x:v>
      </x:c>
      <x:c r="BB12" s="40" t="n">
        <x:f>-'01_入力ページ'!BB56</x:f>
        <x:v>0</x:v>
      </x:c>
      <x:c r="BC12" s="40" t="n">
        <x:f>-'01_入力ページ'!BC56</x:f>
        <x:v>0</x:v>
      </x:c>
      <x:c r="BD12" s="40" t="n">
        <x:f>-'01_入力ページ'!BD56</x:f>
        <x:v>0</x:v>
      </x:c>
      <x:c r="BE12" s="40" t="n">
        <x:f>-'01_入力ページ'!BE56</x:f>
        <x:v>0</x:v>
      </x:c>
      <x:c r="BF12" s="40" t="n">
        <x:f>-'01_入力ページ'!BF56</x:f>
        <x:v>0</x:v>
      </x:c>
      <x:c r="BG12" s="40" t="n">
        <x:f>-'01_入力ページ'!BG56</x:f>
        <x:v>0</x:v>
      </x:c>
      <x:c r="BH12" s="40" t="n">
        <x:f>-'01_入力ページ'!BH56</x:f>
        <x:v>0</x:v>
      </x:c>
      <x:c r="BI12" s="40" t="n">
        <x:f>-'01_入力ページ'!BI56</x:f>
        <x:v>0</x:v>
      </x:c>
      <x:c r="BJ12" s="40" t="n">
        <x:f>-'01_入力ページ'!BJ56</x:f>
        <x:v>0</x:v>
      </x:c>
    </x:row>
    <x:row r="13">
      <x:c r="A13" s="12" t="str">
        <x:v>投資CF</x:v>
      </x:c>
      <x:c r="B13" s="12" t="str">
        <x:v>投資CF</x:v>
      </x:c>
      <x:c r="C13" s="40" t="n">
        <x:f>C12</x:f>
        <x:v>0</x:v>
      </x:c>
      <x:c r="D13" s="40" t="n">
        <x:f>D12</x:f>
        <x:v>0</x:v>
      </x:c>
      <x:c r="E13" s="40" t="n">
        <x:f>E12</x:f>
        <x:v>0</x:v>
      </x:c>
      <x:c r="F13" s="40" t="n">
        <x:f>F12</x:f>
        <x:v>0</x:v>
      </x:c>
      <x:c r="G13" s="40" t="n">
        <x:f>G12</x:f>
        <x:v>0</x:v>
      </x:c>
      <x:c r="H13" s="40" t="n">
        <x:f>H12</x:f>
        <x:v>0</x:v>
      </x:c>
      <x:c r="I13" s="40" t="n">
        <x:f>I12</x:f>
        <x:v>0</x:v>
      </x:c>
      <x:c r="J13" s="40" t="n">
        <x:f>J12</x:f>
        <x:v>0</x:v>
      </x:c>
      <x:c r="K13" s="40" t="n">
        <x:f>K12</x:f>
        <x:v>0</x:v>
      </x:c>
      <x:c r="L13" s="40" t="n">
        <x:f>L12</x:f>
        <x:v>0</x:v>
      </x:c>
      <x:c r="M13" s="40" t="n">
        <x:f>M12</x:f>
        <x:v>0</x:v>
      </x:c>
      <x:c r="N13" s="40" t="n">
        <x:f>N12</x:f>
        <x:v>0</x:v>
      </x:c>
      <x:c r="O13" s="40" t="n">
        <x:f>O12</x:f>
        <x:v>0</x:v>
      </x:c>
      <x:c r="P13" s="40" t="n">
        <x:f>P12</x:f>
        <x:v>0</x:v>
      </x:c>
      <x:c r="Q13" s="40" t="n">
        <x:f>Q12</x:f>
        <x:v>0</x:v>
      </x:c>
      <x:c r="R13" s="40" t="n">
        <x:f>R12</x:f>
        <x:v>0</x:v>
      </x:c>
      <x:c r="S13" s="40" t="n">
        <x:f>S12</x:f>
        <x:v>0</x:v>
      </x:c>
      <x:c r="T13" s="40" t="n">
        <x:f>T12</x:f>
        <x:v>0</x:v>
      </x:c>
      <x:c r="U13" s="40" t="n">
        <x:f>U12</x:f>
        <x:v>0</x:v>
      </x:c>
      <x:c r="V13" s="40" t="n">
        <x:f>V12</x:f>
        <x:v>0</x:v>
      </x:c>
      <x:c r="W13" s="40" t="n">
        <x:f>W12</x:f>
        <x:v>0</x:v>
      </x:c>
      <x:c r="X13" s="40" t="n">
        <x:f>X12</x:f>
        <x:v>0</x:v>
      </x:c>
      <x:c r="Y13" s="40" t="n">
        <x:f>Y12</x:f>
        <x:v>0</x:v>
      </x:c>
      <x:c r="Z13" s="40" t="n">
        <x:f>Z12</x:f>
        <x:v>0</x:v>
      </x:c>
      <x:c r="AA13" s="40" t="n">
        <x:f>AA12</x:f>
        <x:v>0</x:v>
      </x:c>
      <x:c r="AB13" s="40" t="n">
        <x:f>AB12</x:f>
        <x:v>0</x:v>
      </x:c>
      <x:c r="AC13" s="40" t="n">
        <x:f>AC12</x:f>
        <x:v>0</x:v>
      </x:c>
      <x:c r="AD13" s="40" t="n">
        <x:f>AD12</x:f>
        <x:v>0</x:v>
      </x:c>
      <x:c r="AE13" s="40" t="n">
        <x:f>AE12</x:f>
        <x:v>0</x:v>
      </x:c>
      <x:c r="AF13" s="40" t="n">
        <x:f>AF12</x:f>
        <x:v>0</x:v>
      </x:c>
      <x:c r="AG13" s="40" t="n">
        <x:f>AG12</x:f>
        <x:v>0</x:v>
      </x:c>
      <x:c r="AH13" s="40" t="n">
        <x:f>AH12</x:f>
        <x:v>0</x:v>
      </x:c>
      <x:c r="AI13" s="40" t="n">
        <x:f>AI12</x:f>
        <x:v>0</x:v>
      </x:c>
      <x:c r="AJ13" s="40" t="n">
        <x:f>AJ12</x:f>
        <x:v>0</x:v>
      </x:c>
      <x:c r="AK13" s="40" t="n">
        <x:f>AK12</x:f>
        <x:v>0</x:v>
      </x:c>
      <x:c r="AL13" s="40" t="n">
        <x:f>AL12</x:f>
        <x:v>0</x:v>
      </x:c>
      <x:c r="AM13" s="40" t="n">
        <x:f>AM12</x:f>
        <x:v>0</x:v>
      </x:c>
      <x:c r="AN13" s="40" t="n">
        <x:f>AN12</x:f>
        <x:v>0</x:v>
      </x:c>
      <x:c r="AO13" s="40" t="n">
        <x:f>AO12</x:f>
        <x:v>0</x:v>
      </x:c>
      <x:c r="AP13" s="40" t="n">
        <x:f>AP12</x:f>
        <x:v>0</x:v>
      </x:c>
      <x:c r="AQ13" s="40" t="n">
        <x:f>AQ12</x:f>
        <x:v>0</x:v>
      </x:c>
      <x:c r="AR13" s="40" t="n">
        <x:f>AR12</x:f>
        <x:v>0</x:v>
      </x:c>
      <x:c r="AS13" s="40" t="n">
        <x:f>AS12</x:f>
        <x:v>0</x:v>
      </x:c>
      <x:c r="AT13" s="40" t="n">
        <x:f>AT12</x:f>
        <x:v>0</x:v>
      </x:c>
      <x:c r="AU13" s="40" t="n">
        <x:f>AU12</x:f>
        <x:v>0</x:v>
      </x:c>
      <x:c r="AV13" s="40" t="n">
        <x:f>AV12</x:f>
        <x:v>0</x:v>
      </x:c>
      <x:c r="AW13" s="40" t="n">
        <x:f>AW12</x:f>
        <x:v>0</x:v>
      </x:c>
      <x:c r="AX13" s="40" t="n">
        <x:f>AX12</x:f>
        <x:v>0</x:v>
      </x:c>
      <x:c r="AY13" s="40" t="n">
        <x:f>AY12</x:f>
        <x:v>0</x:v>
      </x:c>
      <x:c r="AZ13" s="40" t="n">
        <x:f>AZ12</x:f>
        <x:v>0</x:v>
      </x:c>
      <x:c r="BA13" s="40" t="n">
        <x:f>BA12</x:f>
        <x:v>0</x:v>
      </x:c>
      <x:c r="BB13" s="40" t="n">
        <x:f>BB12</x:f>
        <x:v>0</x:v>
      </x:c>
      <x:c r="BC13" s="40" t="n">
        <x:f>BC12</x:f>
        <x:v>0</x:v>
      </x:c>
      <x:c r="BD13" s="40" t="n">
        <x:f>BD12</x:f>
        <x:v>0</x:v>
      </x:c>
      <x:c r="BE13" s="40" t="n">
        <x:f>BE12</x:f>
        <x:v>0</x:v>
      </x:c>
      <x:c r="BF13" s="40" t="n">
        <x:f>BF12</x:f>
        <x:v>0</x:v>
      </x:c>
      <x:c r="BG13" s="40" t="n">
        <x:f>BG12</x:f>
        <x:v>0</x:v>
      </x:c>
      <x:c r="BH13" s="40" t="n">
        <x:f>BH12</x:f>
        <x:v>0</x:v>
      </x:c>
      <x:c r="BI13" s="40" t="n">
        <x:f>BI12</x:f>
        <x:v>0</x:v>
      </x:c>
      <x:c r="BJ13" s="40" t="n">
        <x:f>BJ12</x:f>
        <x:v>0</x:v>
      </x:c>
    </x:row>
    <x:row r="14">
      <x:c r="A14" s="12" t="str">
        <x:v>財務CF</x:v>
      </x:c>
      <x:c r="B14" s="12" t="str">
        <x:v>新規借入</x:v>
      </x:c>
      <x:c r="C14" s="40" t="n">
        <x:f>'09_借入返済'!C7</x:f>
        <x:v>0</x:v>
      </x:c>
      <x:c r="D14" s="40" t="n">
        <x:f>'09_借入返済'!D7</x:f>
        <x:v>0</x:v>
      </x:c>
      <x:c r="E14" s="40" t="n">
        <x:f>'09_借入返済'!E7</x:f>
        <x:v>0</x:v>
      </x:c>
      <x:c r="F14" s="40" t="n">
        <x:f>'09_借入返済'!F7</x:f>
        <x:v>0</x:v>
      </x:c>
      <x:c r="G14" s="40" t="n">
        <x:f>'09_借入返済'!G7</x:f>
        <x:v>0</x:v>
      </x:c>
      <x:c r="H14" s="40" t="n">
        <x:f>'09_借入返済'!H7</x:f>
        <x:v>0</x:v>
      </x:c>
      <x:c r="I14" s="40" t="n">
        <x:f>'09_借入返済'!I7</x:f>
        <x:v>0</x:v>
      </x:c>
      <x:c r="J14" s="40" t="n">
        <x:f>'09_借入返済'!J7</x:f>
        <x:v>0</x:v>
      </x:c>
      <x:c r="K14" s="40" t="n">
        <x:f>'09_借入返済'!K7</x:f>
        <x:v>0</x:v>
      </x:c>
      <x:c r="L14" s="40" t="n">
        <x:f>'09_借入返済'!L7</x:f>
        <x:v>0</x:v>
      </x:c>
      <x:c r="M14" s="40" t="n">
        <x:f>'09_借入返済'!M7</x:f>
        <x:v>0</x:v>
      </x:c>
      <x:c r="N14" s="40" t="n">
        <x:f>'09_借入返済'!N7</x:f>
        <x:v>0</x:v>
      </x:c>
      <x:c r="O14" s="40" t="n">
        <x:f>'09_借入返済'!O7</x:f>
        <x:v>0</x:v>
      </x:c>
      <x:c r="P14" s="40" t="n">
        <x:f>'09_借入返済'!P7</x:f>
        <x:v>0</x:v>
      </x:c>
      <x:c r="Q14" s="40" t="n">
        <x:f>'09_借入返済'!Q7</x:f>
        <x:v>0</x:v>
      </x:c>
      <x:c r="R14" s="40" t="n">
        <x:f>'09_借入返済'!R7</x:f>
        <x:v>0</x:v>
      </x:c>
      <x:c r="S14" s="40" t="n">
        <x:f>'09_借入返済'!S7</x:f>
        <x:v>0</x:v>
      </x:c>
      <x:c r="T14" s="40" t="n">
        <x:f>'09_借入返済'!T7</x:f>
        <x:v>0</x:v>
      </x:c>
      <x:c r="U14" s="40" t="n">
        <x:f>'09_借入返済'!U7</x:f>
        <x:v>0</x:v>
      </x:c>
      <x:c r="V14" s="40" t="n">
        <x:f>'09_借入返済'!V7</x:f>
        <x:v>0</x:v>
      </x:c>
      <x:c r="W14" s="40" t="n">
        <x:f>'09_借入返済'!W7</x:f>
        <x:v>0</x:v>
      </x:c>
      <x:c r="X14" s="40" t="n">
        <x:f>'09_借入返済'!X7</x:f>
        <x:v>0</x:v>
      </x:c>
      <x:c r="Y14" s="40" t="n">
        <x:f>'09_借入返済'!Y7</x:f>
        <x:v>0</x:v>
      </x:c>
      <x:c r="Z14" s="40" t="n">
        <x:f>'09_借入返済'!Z7</x:f>
        <x:v>0</x:v>
      </x:c>
      <x:c r="AA14" s="40" t="n">
        <x:f>'09_借入返済'!AA7</x:f>
        <x:v>0</x:v>
      </x:c>
      <x:c r="AB14" s="40" t="n">
        <x:f>'09_借入返済'!AB7</x:f>
        <x:v>0</x:v>
      </x:c>
      <x:c r="AC14" s="40" t="n">
        <x:f>'09_借入返済'!AC7</x:f>
        <x:v>0</x:v>
      </x:c>
      <x:c r="AD14" s="40" t="n">
        <x:f>'09_借入返済'!AD7</x:f>
        <x:v>0</x:v>
      </x:c>
      <x:c r="AE14" s="40" t="n">
        <x:f>'09_借入返済'!AE7</x:f>
        <x:v>0</x:v>
      </x:c>
      <x:c r="AF14" s="40" t="n">
        <x:f>'09_借入返済'!AF7</x:f>
        <x:v>0</x:v>
      </x:c>
      <x:c r="AG14" s="40" t="n">
        <x:f>'09_借入返済'!AG7</x:f>
        <x:v>0</x:v>
      </x:c>
      <x:c r="AH14" s="40" t="n">
        <x:f>'09_借入返済'!AH7</x:f>
        <x:v>0</x:v>
      </x:c>
      <x:c r="AI14" s="40" t="n">
        <x:f>'09_借入返済'!AI7</x:f>
        <x:v>0</x:v>
      </x:c>
      <x:c r="AJ14" s="40" t="n">
        <x:f>'09_借入返済'!AJ7</x:f>
        <x:v>0</x:v>
      </x:c>
      <x:c r="AK14" s="40" t="n">
        <x:f>'09_借入返済'!AK7</x:f>
        <x:v>0</x:v>
      </x:c>
      <x:c r="AL14" s="40" t="n">
        <x:f>'09_借入返済'!AL7</x:f>
        <x:v>0</x:v>
      </x:c>
      <x:c r="AM14" s="40" t="n">
        <x:f>'09_借入返済'!AM7</x:f>
        <x:v>0</x:v>
      </x:c>
      <x:c r="AN14" s="40" t="n">
        <x:f>'09_借入返済'!AN7</x:f>
        <x:v>0</x:v>
      </x:c>
      <x:c r="AO14" s="40" t="n">
        <x:f>'09_借入返済'!AO7</x:f>
        <x:v>0</x:v>
      </x:c>
      <x:c r="AP14" s="40" t="n">
        <x:f>'09_借入返済'!AP7</x:f>
        <x:v>0</x:v>
      </x:c>
      <x:c r="AQ14" s="40" t="n">
        <x:f>'09_借入返済'!AQ7</x:f>
        <x:v>0</x:v>
      </x:c>
      <x:c r="AR14" s="40" t="n">
        <x:f>'09_借入返済'!AR7</x:f>
        <x:v>0</x:v>
      </x:c>
      <x:c r="AS14" s="40" t="n">
        <x:f>'09_借入返済'!AS7</x:f>
        <x:v>0</x:v>
      </x:c>
      <x:c r="AT14" s="40" t="n">
        <x:f>'09_借入返済'!AT7</x:f>
        <x:v>0</x:v>
      </x:c>
      <x:c r="AU14" s="40" t="n">
        <x:f>'09_借入返済'!AU7</x:f>
        <x:v>0</x:v>
      </x:c>
      <x:c r="AV14" s="40" t="n">
        <x:f>'09_借入返済'!AV7</x:f>
        <x:v>0</x:v>
      </x:c>
      <x:c r="AW14" s="40" t="n">
        <x:f>'09_借入返済'!AW7</x:f>
        <x:v>0</x:v>
      </x:c>
      <x:c r="AX14" s="40" t="n">
        <x:f>'09_借入返済'!AX7</x:f>
        <x:v>0</x:v>
      </x:c>
      <x:c r="AY14" s="40" t="n">
        <x:f>'09_借入返済'!AY7</x:f>
        <x:v>0</x:v>
      </x:c>
      <x:c r="AZ14" s="40" t="n">
        <x:f>'09_借入返済'!AZ7</x:f>
        <x:v>0</x:v>
      </x:c>
      <x:c r="BA14" s="40" t="n">
        <x:f>'09_借入返済'!BA7</x:f>
        <x:v>0</x:v>
      </x:c>
      <x:c r="BB14" s="40" t="n">
        <x:f>'09_借入返済'!BB7</x:f>
        <x:v>0</x:v>
      </x:c>
      <x:c r="BC14" s="40" t="n">
        <x:f>'09_借入返済'!BC7</x:f>
        <x:v>0</x:v>
      </x:c>
      <x:c r="BD14" s="40" t="n">
        <x:f>'09_借入返済'!BD7</x:f>
        <x:v>0</x:v>
      </x:c>
      <x:c r="BE14" s="40" t="n">
        <x:f>'09_借入返済'!BE7</x:f>
        <x:v>0</x:v>
      </x:c>
      <x:c r="BF14" s="40" t="n">
        <x:f>'09_借入返済'!BF7</x:f>
        <x:v>0</x:v>
      </x:c>
      <x:c r="BG14" s="40" t="n">
        <x:f>'09_借入返済'!BG7</x:f>
        <x:v>0</x:v>
      </x:c>
      <x:c r="BH14" s="40" t="n">
        <x:f>'09_借入返済'!BH7</x:f>
        <x:v>0</x:v>
      </x:c>
      <x:c r="BI14" s="40" t="n">
        <x:f>'09_借入返済'!BI7</x:f>
        <x:v>0</x:v>
      </x:c>
      <x:c r="BJ14" s="40" t="n">
        <x:f>'09_借入返済'!BJ7</x:f>
        <x:v>0</x:v>
      </x:c>
    </x:row>
    <x:row r="15">
      <x:c r="A15" s="12" t="str">
        <x:v>財務CF</x:v>
      </x:c>
      <x:c r="B15" s="12" t="str">
        <x:v>元本返済</x:v>
      </x:c>
      <x:c r="C15" s="40" t="n">
        <x:f>-'09_借入返済'!C8</x:f>
        <x:v>0</x:v>
      </x:c>
      <x:c r="D15" s="40" t="n">
        <x:f>-'09_借入返済'!D8</x:f>
        <x:v>0</x:v>
      </x:c>
      <x:c r="E15" s="40" t="n">
        <x:f>-'09_借入返済'!E8</x:f>
        <x:v>0</x:v>
      </x:c>
      <x:c r="F15" s="40" t="n">
        <x:f>-'09_借入返済'!F8</x:f>
        <x:v>0</x:v>
      </x:c>
      <x:c r="G15" s="40" t="n">
        <x:f>-'09_借入返済'!G8</x:f>
        <x:v>0</x:v>
      </x:c>
      <x:c r="H15" s="40" t="n">
        <x:f>-'09_借入返済'!H8</x:f>
        <x:v>0</x:v>
      </x:c>
      <x:c r="I15" s="40" t="n">
        <x:f>-'09_借入返済'!I8</x:f>
        <x:v>0</x:v>
      </x:c>
      <x:c r="J15" s="40" t="n">
        <x:f>-'09_借入返済'!J8</x:f>
        <x:v>0</x:v>
      </x:c>
      <x:c r="K15" s="40" t="n">
        <x:f>-'09_借入返済'!K8</x:f>
        <x:v>0</x:v>
      </x:c>
      <x:c r="L15" s="40" t="n">
        <x:f>-'09_借入返済'!L8</x:f>
        <x:v>0</x:v>
      </x:c>
      <x:c r="M15" s="40" t="n">
        <x:f>-'09_借入返済'!M8</x:f>
        <x:v>0</x:v>
      </x:c>
      <x:c r="N15" s="40" t="n">
        <x:f>-'09_借入返済'!N8</x:f>
        <x:v>0</x:v>
      </x:c>
      <x:c r="O15" s="40" t="n">
        <x:f>-'09_借入返済'!O8</x:f>
        <x:v>0</x:v>
      </x:c>
      <x:c r="P15" s="40" t="n">
        <x:f>-'09_借入返済'!P8</x:f>
        <x:v>0</x:v>
      </x:c>
      <x:c r="Q15" s="40" t="n">
        <x:f>-'09_借入返済'!Q8</x:f>
        <x:v>0</x:v>
      </x:c>
      <x:c r="R15" s="40" t="n">
        <x:f>-'09_借入返済'!R8</x:f>
        <x:v>0</x:v>
      </x:c>
      <x:c r="S15" s="40" t="n">
        <x:f>-'09_借入返済'!S8</x:f>
        <x:v>0</x:v>
      </x:c>
      <x:c r="T15" s="40" t="n">
        <x:f>-'09_借入返済'!T8</x:f>
        <x:v>0</x:v>
      </x:c>
      <x:c r="U15" s="40" t="n">
        <x:f>-'09_借入返済'!U8</x:f>
        <x:v>0</x:v>
      </x:c>
      <x:c r="V15" s="40" t="n">
        <x:f>-'09_借入返済'!V8</x:f>
        <x:v>0</x:v>
      </x:c>
      <x:c r="W15" s="40" t="n">
        <x:f>-'09_借入返済'!W8</x:f>
        <x:v>0</x:v>
      </x:c>
      <x:c r="X15" s="40" t="n">
        <x:f>-'09_借入返済'!X8</x:f>
        <x:v>0</x:v>
      </x:c>
      <x:c r="Y15" s="40" t="n">
        <x:f>-'09_借入返済'!Y8</x:f>
        <x:v>0</x:v>
      </x:c>
      <x:c r="Z15" s="40" t="n">
        <x:f>-'09_借入返済'!Z8</x:f>
        <x:v>0</x:v>
      </x:c>
      <x:c r="AA15" s="40" t="n">
        <x:f>-'09_借入返済'!AA8</x:f>
        <x:v>0</x:v>
      </x:c>
      <x:c r="AB15" s="40" t="n">
        <x:f>-'09_借入返済'!AB8</x:f>
        <x:v>0</x:v>
      </x:c>
      <x:c r="AC15" s="40" t="n">
        <x:f>-'09_借入返済'!AC8</x:f>
        <x:v>0</x:v>
      </x:c>
      <x:c r="AD15" s="40" t="n">
        <x:f>-'09_借入返済'!AD8</x:f>
        <x:v>0</x:v>
      </x:c>
      <x:c r="AE15" s="40" t="n">
        <x:f>-'09_借入返済'!AE8</x:f>
        <x:v>0</x:v>
      </x:c>
      <x:c r="AF15" s="40" t="n">
        <x:f>-'09_借入返済'!AF8</x:f>
        <x:v>0</x:v>
      </x:c>
      <x:c r="AG15" s="40" t="n">
        <x:f>-'09_借入返済'!AG8</x:f>
        <x:v>0</x:v>
      </x:c>
      <x:c r="AH15" s="40" t="n">
        <x:f>-'09_借入返済'!AH8</x:f>
        <x:v>0</x:v>
      </x:c>
      <x:c r="AI15" s="40" t="n">
        <x:f>-'09_借入返済'!AI8</x:f>
        <x:v>0</x:v>
      </x:c>
      <x:c r="AJ15" s="40" t="n">
        <x:f>-'09_借入返済'!AJ8</x:f>
        <x:v>0</x:v>
      </x:c>
      <x:c r="AK15" s="40" t="n">
        <x:f>-'09_借入返済'!AK8</x:f>
        <x:v>0</x:v>
      </x:c>
      <x:c r="AL15" s="40" t="n">
        <x:f>-'09_借入返済'!AL8</x:f>
        <x:v>0</x:v>
      </x:c>
      <x:c r="AM15" s="40" t="n">
        <x:f>-'09_借入返済'!AM8</x:f>
        <x:v>0</x:v>
      </x:c>
      <x:c r="AN15" s="40" t="n">
        <x:f>-'09_借入返済'!AN8</x:f>
        <x:v>0</x:v>
      </x:c>
      <x:c r="AO15" s="40" t="n">
        <x:f>-'09_借入返済'!AO8</x:f>
        <x:v>0</x:v>
      </x:c>
      <x:c r="AP15" s="40" t="n">
        <x:f>-'09_借入返済'!AP8</x:f>
        <x:v>0</x:v>
      </x:c>
      <x:c r="AQ15" s="40" t="n">
        <x:f>-'09_借入返済'!AQ8</x:f>
        <x:v>0</x:v>
      </x:c>
      <x:c r="AR15" s="40" t="n">
        <x:f>-'09_借入返済'!AR8</x:f>
        <x:v>0</x:v>
      </x:c>
      <x:c r="AS15" s="40" t="n">
        <x:f>-'09_借入返済'!AS8</x:f>
        <x:v>0</x:v>
      </x:c>
      <x:c r="AT15" s="40" t="n">
        <x:f>-'09_借入返済'!AT8</x:f>
        <x:v>0</x:v>
      </x:c>
      <x:c r="AU15" s="40" t="n">
        <x:f>-'09_借入返済'!AU8</x:f>
        <x:v>0</x:v>
      </x:c>
      <x:c r="AV15" s="40" t="n">
        <x:f>-'09_借入返済'!AV8</x:f>
        <x:v>0</x:v>
      </x:c>
      <x:c r="AW15" s="40" t="n">
        <x:f>-'09_借入返済'!AW8</x:f>
        <x:v>0</x:v>
      </x:c>
      <x:c r="AX15" s="40" t="n">
        <x:f>-'09_借入返済'!AX8</x:f>
        <x:v>0</x:v>
      </x:c>
      <x:c r="AY15" s="40" t="n">
        <x:f>-'09_借入返済'!AY8</x:f>
        <x:v>0</x:v>
      </x:c>
      <x:c r="AZ15" s="40" t="n">
        <x:f>-'09_借入返済'!AZ8</x:f>
        <x:v>0</x:v>
      </x:c>
      <x:c r="BA15" s="40" t="n">
        <x:f>-'09_借入返済'!BA8</x:f>
        <x:v>0</x:v>
      </x:c>
      <x:c r="BB15" s="40" t="n">
        <x:f>-'09_借入返済'!BB8</x:f>
        <x:v>0</x:v>
      </x:c>
      <x:c r="BC15" s="40" t="n">
        <x:f>-'09_借入返済'!BC8</x:f>
        <x:v>0</x:v>
      </x:c>
      <x:c r="BD15" s="40" t="n">
        <x:f>-'09_借入返済'!BD8</x:f>
        <x:v>0</x:v>
      </x:c>
      <x:c r="BE15" s="40" t="n">
        <x:f>-'09_借入返済'!BE8</x:f>
        <x:v>0</x:v>
      </x:c>
      <x:c r="BF15" s="40" t="n">
        <x:f>-'09_借入返済'!BF8</x:f>
        <x:v>0</x:v>
      </x:c>
      <x:c r="BG15" s="40" t="n">
        <x:f>-'09_借入返済'!BG8</x:f>
        <x:v>0</x:v>
      </x:c>
      <x:c r="BH15" s="40" t="n">
        <x:f>-'09_借入返済'!BH8</x:f>
        <x:v>0</x:v>
      </x:c>
      <x:c r="BI15" s="40" t="n">
        <x:f>-'09_借入返済'!BI8</x:f>
        <x:v>0</x:v>
      </x:c>
      <x:c r="BJ15" s="40" t="n">
        <x:f>-'09_借入返済'!BJ8</x:f>
        <x:v>0</x:v>
      </x:c>
    </x:row>
    <x:row r="16">
      <x:c r="A16" s="12" t="str">
        <x:v>財務CF</x:v>
      </x:c>
      <x:c r="B16" s="12" t="str">
        <x:v>繰上返済</x:v>
      </x:c>
      <x:c r="C16" s="40" t="n">
        <x:f>-'09_借入返済'!C9</x:f>
        <x:v>0</x:v>
      </x:c>
      <x:c r="D16" s="40" t="n">
        <x:f>-'09_借入返済'!D9</x:f>
        <x:v>0</x:v>
      </x:c>
      <x:c r="E16" s="40" t="n">
        <x:f>-'09_借入返済'!E9</x:f>
        <x:v>0</x:v>
      </x:c>
      <x:c r="F16" s="40" t="n">
        <x:f>-'09_借入返済'!F9</x:f>
        <x:v>0</x:v>
      </x:c>
      <x:c r="G16" s="40" t="n">
        <x:f>-'09_借入返済'!G9</x:f>
        <x:v>0</x:v>
      </x:c>
      <x:c r="H16" s="40" t="n">
        <x:f>-'09_借入返済'!H9</x:f>
        <x:v>0</x:v>
      </x:c>
      <x:c r="I16" s="40" t="n">
        <x:f>-'09_借入返済'!I9</x:f>
        <x:v>0</x:v>
      </x:c>
      <x:c r="J16" s="40" t="n">
        <x:f>-'09_借入返済'!J9</x:f>
        <x:v>0</x:v>
      </x:c>
      <x:c r="K16" s="40" t="n">
        <x:f>-'09_借入返済'!K9</x:f>
        <x:v>0</x:v>
      </x:c>
      <x:c r="L16" s="40" t="n">
        <x:f>-'09_借入返済'!L9</x:f>
        <x:v>0</x:v>
      </x:c>
      <x:c r="M16" s="40" t="n">
        <x:f>-'09_借入返済'!M9</x:f>
        <x:v>0</x:v>
      </x:c>
      <x:c r="N16" s="40" t="n">
        <x:f>-'09_借入返済'!N9</x:f>
        <x:v>0</x:v>
      </x:c>
      <x:c r="O16" s="40" t="n">
        <x:f>-'09_借入返済'!O9</x:f>
        <x:v>0</x:v>
      </x:c>
      <x:c r="P16" s="40" t="n">
        <x:f>-'09_借入返済'!P9</x:f>
        <x:v>0</x:v>
      </x:c>
      <x:c r="Q16" s="40" t="n">
        <x:f>-'09_借入返済'!Q9</x:f>
        <x:v>0</x:v>
      </x:c>
      <x:c r="R16" s="40" t="n">
        <x:f>-'09_借入返済'!R9</x:f>
        <x:v>0</x:v>
      </x:c>
      <x:c r="S16" s="40" t="n">
        <x:f>-'09_借入返済'!S9</x:f>
        <x:v>0</x:v>
      </x:c>
      <x:c r="T16" s="40" t="n">
        <x:f>-'09_借入返済'!T9</x:f>
        <x:v>0</x:v>
      </x:c>
      <x:c r="U16" s="40" t="n">
        <x:f>-'09_借入返済'!U9</x:f>
        <x:v>0</x:v>
      </x:c>
      <x:c r="V16" s="40" t="n">
        <x:f>-'09_借入返済'!V9</x:f>
        <x:v>0</x:v>
      </x:c>
      <x:c r="W16" s="40" t="n">
        <x:f>-'09_借入返済'!W9</x:f>
        <x:v>0</x:v>
      </x:c>
      <x:c r="X16" s="40" t="n">
        <x:f>-'09_借入返済'!X9</x:f>
        <x:v>0</x:v>
      </x:c>
      <x:c r="Y16" s="40" t="n">
        <x:f>-'09_借入返済'!Y9</x:f>
        <x:v>0</x:v>
      </x:c>
      <x:c r="Z16" s="40" t="n">
        <x:f>-'09_借入返済'!Z9</x:f>
        <x:v>0</x:v>
      </x:c>
      <x:c r="AA16" s="40" t="n">
        <x:f>-'09_借入返済'!AA9</x:f>
        <x:v>0</x:v>
      </x:c>
      <x:c r="AB16" s="40" t="n">
        <x:f>-'09_借入返済'!AB9</x:f>
        <x:v>0</x:v>
      </x:c>
      <x:c r="AC16" s="40" t="n">
        <x:f>-'09_借入返済'!AC9</x:f>
        <x:v>0</x:v>
      </x:c>
      <x:c r="AD16" s="40" t="n">
        <x:f>-'09_借入返済'!AD9</x:f>
        <x:v>0</x:v>
      </x:c>
      <x:c r="AE16" s="40" t="n">
        <x:f>-'09_借入返済'!AE9</x:f>
        <x:v>0</x:v>
      </x:c>
      <x:c r="AF16" s="40" t="n">
        <x:f>-'09_借入返済'!AF9</x:f>
        <x:v>0</x:v>
      </x:c>
      <x:c r="AG16" s="40" t="n">
        <x:f>-'09_借入返済'!AG9</x:f>
        <x:v>0</x:v>
      </x:c>
      <x:c r="AH16" s="40" t="n">
        <x:f>-'09_借入返済'!AH9</x:f>
        <x:v>0</x:v>
      </x:c>
      <x:c r="AI16" s="40" t="n">
        <x:f>-'09_借入返済'!AI9</x:f>
        <x:v>0</x:v>
      </x:c>
      <x:c r="AJ16" s="40" t="n">
        <x:f>-'09_借入返済'!AJ9</x:f>
        <x:v>0</x:v>
      </x:c>
      <x:c r="AK16" s="40" t="n">
        <x:f>-'09_借入返済'!AK9</x:f>
        <x:v>0</x:v>
      </x:c>
      <x:c r="AL16" s="40" t="n">
        <x:f>-'09_借入返済'!AL9</x:f>
        <x:v>0</x:v>
      </x:c>
      <x:c r="AM16" s="40" t="n">
        <x:f>-'09_借入返済'!AM9</x:f>
        <x:v>0</x:v>
      </x:c>
      <x:c r="AN16" s="40" t="n">
        <x:f>-'09_借入返済'!AN9</x:f>
        <x:v>0</x:v>
      </x:c>
      <x:c r="AO16" s="40" t="n">
        <x:f>-'09_借入返済'!AO9</x:f>
        <x:v>0</x:v>
      </x:c>
      <x:c r="AP16" s="40" t="n">
        <x:f>-'09_借入返済'!AP9</x:f>
        <x:v>0</x:v>
      </x:c>
      <x:c r="AQ16" s="40" t="n">
        <x:f>-'09_借入返済'!AQ9</x:f>
        <x:v>0</x:v>
      </x:c>
      <x:c r="AR16" s="40" t="n">
        <x:f>-'09_借入返済'!AR9</x:f>
        <x:v>0</x:v>
      </x:c>
      <x:c r="AS16" s="40" t="n">
        <x:f>-'09_借入返済'!AS9</x:f>
        <x:v>0</x:v>
      </x:c>
      <x:c r="AT16" s="40" t="n">
        <x:f>-'09_借入返済'!AT9</x:f>
        <x:v>0</x:v>
      </x:c>
      <x:c r="AU16" s="40" t="n">
        <x:f>-'09_借入返済'!AU9</x:f>
        <x:v>0</x:v>
      </x:c>
      <x:c r="AV16" s="40" t="n">
        <x:f>-'09_借入返済'!AV9</x:f>
        <x:v>0</x:v>
      </x:c>
      <x:c r="AW16" s="40" t="n">
        <x:f>-'09_借入返済'!AW9</x:f>
        <x:v>0</x:v>
      </x:c>
      <x:c r="AX16" s="40" t="n">
        <x:f>-'09_借入返済'!AX9</x:f>
        <x:v>0</x:v>
      </x:c>
      <x:c r="AY16" s="40" t="n">
        <x:f>-'09_借入返済'!AY9</x:f>
        <x:v>0</x:v>
      </x:c>
      <x:c r="AZ16" s="40" t="n">
        <x:f>-'09_借入返済'!AZ9</x:f>
        <x:v>0</x:v>
      </x:c>
      <x:c r="BA16" s="40" t="n">
        <x:f>-'09_借入返済'!BA9</x:f>
        <x:v>0</x:v>
      </x:c>
      <x:c r="BB16" s="40" t="n">
        <x:f>-'09_借入返済'!BB9</x:f>
        <x:v>0</x:v>
      </x:c>
      <x:c r="BC16" s="40" t="n">
        <x:f>-'09_借入返済'!BC9</x:f>
        <x:v>0</x:v>
      </x:c>
      <x:c r="BD16" s="40" t="n">
        <x:f>-'09_借入返済'!BD9</x:f>
        <x:v>0</x:v>
      </x:c>
      <x:c r="BE16" s="40" t="n">
        <x:f>-'09_借入返済'!BE9</x:f>
        <x:v>0</x:v>
      </x:c>
      <x:c r="BF16" s="40" t="n">
        <x:f>-'09_借入返済'!BF9</x:f>
        <x:v>0</x:v>
      </x:c>
      <x:c r="BG16" s="40" t="n">
        <x:f>-'09_借入返済'!BG9</x:f>
        <x:v>0</x:v>
      </x:c>
      <x:c r="BH16" s="40" t="n">
        <x:f>-'09_借入返済'!BH9</x:f>
        <x:v>0</x:v>
      </x:c>
      <x:c r="BI16" s="40" t="n">
        <x:f>-'09_借入返済'!BI9</x:f>
        <x:v>0</x:v>
      </x:c>
      <x:c r="BJ16" s="40" t="n">
        <x:f>-'09_借入返済'!BJ9</x:f>
        <x:v>0</x:v>
      </x:c>
    </x:row>
    <x:row r="17">
      <x:c r="A17" s="12" t="str">
        <x:v>財務CF</x:v>
      </x:c>
      <x:c r="B17" s="12" t="str">
        <x:v>配当・役員賞与等</x:v>
      </x:c>
      <x:c r="C17" s="40" t="n">
        <x:f>-'01_入力ページ'!C57</x:f>
        <x:v>0</x:v>
      </x:c>
      <x:c r="D17" s="40" t="n">
        <x:f>-'01_入力ページ'!D57</x:f>
        <x:v>0</x:v>
      </x:c>
      <x:c r="E17" s="40" t="n">
        <x:f>-'01_入力ページ'!E57</x:f>
        <x:v>0</x:v>
      </x:c>
      <x:c r="F17" s="40" t="n">
        <x:f>-'01_入力ページ'!F57</x:f>
        <x:v>0</x:v>
      </x:c>
      <x:c r="G17" s="40" t="n">
        <x:f>-'01_入力ページ'!G57</x:f>
        <x:v>0</x:v>
      </x:c>
      <x:c r="H17" s="40" t="n">
        <x:f>-'01_入力ページ'!H57</x:f>
        <x:v>0</x:v>
      </x:c>
      <x:c r="I17" s="40" t="n">
        <x:f>-'01_入力ページ'!I57</x:f>
        <x:v>0</x:v>
      </x:c>
      <x:c r="J17" s="40" t="n">
        <x:f>-'01_入力ページ'!J57</x:f>
        <x:v>0</x:v>
      </x:c>
      <x:c r="K17" s="40" t="n">
        <x:f>-'01_入力ページ'!K57</x:f>
        <x:v>0</x:v>
      </x:c>
      <x:c r="L17" s="40" t="n">
        <x:f>-'01_入力ページ'!L57</x:f>
        <x:v>0</x:v>
      </x:c>
      <x:c r="M17" s="40" t="n">
        <x:f>-'01_入力ページ'!M57</x:f>
        <x:v>0</x:v>
      </x:c>
      <x:c r="N17" s="40" t="n">
        <x:f>-'01_入力ページ'!N57</x:f>
        <x:v>0</x:v>
      </x:c>
      <x:c r="O17" s="40" t="n">
        <x:f>-'01_入力ページ'!O57</x:f>
        <x:v>0</x:v>
      </x:c>
      <x:c r="P17" s="40" t="n">
        <x:f>-'01_入力ページ'!P57</x:f>
        <x:v>0</x:v>
      </x:c>
      <x:c r="Q17" s="40" t="n">
        <x:f>-'01_入力ページ'!Q57</x:f>
        <x:v>0</x:v>
      </x:c>
      <x:c r="R17" s="40" t="n">
        <x:f>-'01_入力ページ'!R57</x:f>
        <x:v>0</x:v>
      </x:c>
      <x:c r="S17" s="40" t="n">
        <x:f>-'01_入力ページ'!S57</x:f>
        <x:v>0</x:v>
      </x:c>
      <x:c r="T17" s="40" t="n">
        <x:f>-'01_入力ページ'!T57</x:f>
        <x:v>0</x:v>
      </x:c>
      <x:c r="U17" s="40" t="n">
        <x:f>-'01_入力ページ'!U57</x:f>
        <x:v>0</x:v>
      </x:c>
      <x:c r="V17" s="40" t="n">
        <x:f>-'01_入力ページ'!V57</x:f>
        <x:v>0</x:v>
      </x:c>
      <x:c r="W17" s="40" t="n">
        <x:f>-'01_入力ページ'!W57</x:f>
        <x:v>0</x:v>
      </x:c>
      <x:c r="X17" s="40" t="n">
        <x:f>-'01_入力ページ'!X57</x:f>
        <x:v>0</x:v>
      </x:c>
      <x:c r="Y17" s="40" t="n">
        <x:f>-'01_入力ページ'!Y57</x:f>
        <x:v>0</x:v>
      </x:c>
      <x:c r="Z17" s="40" t="n">
        <x:f>-'01_入力ページ'!Z57</x:f>
        <x:v>0</x:v>
      </x:c>
      <x:c r="AA17" s="40" t="n">
        <x:f>-'01_入力ページ'!AA57</x:f>
        <x:v>0</x:v>
      </x:c>
      <x:c r="AB17" s="40" t="n">
        <x:f>-'01_入力ページ'!AB57</x:f>
        <x:v>0</x:v>
      </x:c>
      <x:c r="AC17" s="40" t="n">
        <x:f>-'01_入力ページ'!AC57</x:f>
        <x:v>0</x:v>
      </x:c>
      <x:c r="AD17" s="40" t="n">
        <x:f>-'01_入力ページ'!AD57</x:f>
        <x:v>0</x:v>
      </x:c>
      <x:c r="AE17" s="40" t="n">
        <x:f>-'01_入力ページ'!AE57</x:f>
        <x:v>0</x:v>
      </x:c>
      <x:c r="AF17" s="40" t="n">
        <x:f>-'01_入力ページ'!AF57</x:f>
        <x:v>0</x:v>
      </x:c>
      <x:c r="AG17" s="40" t="n">
        <x:f>-'01_入力ページ'!AG57</x:f>
        <x:v>0</x:v>
      </x:c>
      <x:c r="AH17" s="40" t="n">
        <x:f>-'01_入力ページ'!AH57</x:f>
        <x:v>0</x:v>
      </x:c>
      <x:c r="AI17" s="40" t="n">
        <x:f>-'01_入力ページ'!AI57</x:f>
        <x:v>0</x:v>
      </x:c>
      <x:c r="AJ17" s="40" t="n">
        <x:f>-'01_入力ページ'!AJ57</x:f>
        <x:v>0</x:v>
      </x:c>
      <x:c r="AK17" s="40" t="n">
        <x:f>-'01_入力ページ'!AK57</x:f>
        <x:v>0</x:v>
      </x:c>
      <x:c r="AL17" s="40" t="n">
        <x:f>-'01_入力ページ'!AL57</x:f>
        <x:v>0</x:v>
      </x:c>
      <x:c r="AM17" s="40" t="n">
        <x:f>-'01_入力ページ'!AM57</x:f>
        <x:v>0</x:v>
      </x:c>
      <x:c r="AN17" s="40" t="n">
        <x:f>-'01_入力ページ'!AN57</x:f>
        <x:v>0</x:v>
      </x:c>
      <x:c r="AO17" s="40" t="n">
        <x:f>-'01_入力ページ'!AO57</x:f>
        <x:v>0</x:v>
      </x:c>
      <x:c r="AP17" s="40" t="n">
        <x:f>-'01_入力ページ'!AP57</x:f>
        <x:v>0</x:v>
      </x:c>
      <x:c r="AQ17" s="40" t="n">
        <x:f>-'01_入力ページ'!AQ57</x:f>
        <x:v>0</x:v>
      </x:c>
      <x:c r="AR17" s="40" t="n">
        <x:f>-'01_入力ページ'!AR57</x:f>
        <x:v>0</x:v>
      </x:c>
      <x:c r="AS17" s="40" t="n">
        <x:f>-'01_入力ページ'!AS57</x:f>
        <x:v>0</x:v>
      </x:c>
      <x:c r="AT17" s="40" t="n">
        <x:f>-'01_入力ページ'!AT57</x:f>
        <x:v>0</x:v>
      </x:c>
      <x:c r="AU17" s="40" t="n">
        <x:f>-'01_入力ページ'!AU57</x:f>
        <x:v>0</x:v>
      </x:c>
      <x:c r="AV17" s="40" t="n">
        <x:f>-'01_入力ページ'!AV57</x:f>
        <x:v>0</x:v>
      </x:c>
      <x:c r="AW17" s="40" t="n">
        <x:f>-'01_入力ページ'!AW57</x:f>
        <x:v>0</x:v>
      </x:c>
      <x:c r="AX17" s="40" t="n">
        <x:f>-'01_入力ページ'!AX57</x:f>
        <x:v>0</x:v>
      </x:c>
      <x:c r="AY17" s="40" t="n">
        <x:f>-'01_入力ページ'!AY57</x:f>
        <x:v>0</x:v>
      </x:c>
      <x:c r="AZ17" s="40" t="n">
        <x:f>-'01_入力ページ'!AZ57</x:f>
        <x:v>0</x:v>
      </x:c>
      <x:c r="BA17" s="40" t="n">
        <x:f>-'01_入力ページ'!BA57</x:f>
        <x:v>0</x:v>
      </x:c>
      <x:c r="BB17" s="40" t="n">
        <x:f>-'01_入力ページ'!BB57</x:f>
        <x:v>0</x:v>
      </x:c>
      <x:c r="BC17" s="40" t="n">
        <x:f>-'01_入力ページ'!BC57</x:f>
        <x:v>0</x:v>
      </x:c>
      <x:c r="BD17" s="40" t="n">
        <x:f>-'01_入力ページ'!BD57</x:f>
        <x:v>0</x:v>
      </x:c>
      <x:c r="BE17" s="40" t="n">
        <x:f>-'01_入力ページ'!BE57</x:f>
        <x:v>0</x:v>
      </x:c>
      <x:c r="BF17" s="40" t="n">
        <x:f>-'01_入力ページ'!BF57</x:f>
        <x:v>0</x:v>
      </x:c>
      <x:c r="BG17" s="40" t="n">
        <x:f>-'01_入力ページ'!BG57</x:f>
        <x:v>0</x:v>
      </x:c>
      <x:c r="BH17" s="40" t="n">
        <x:f>-'01_入力ページ'!BH57</x:f>
        <x:v>0</x:v>
      </x:c>
      <x:c r="BI17" s="40" t="n">
        <x:f>-'01_入力ページ'!BI57</x:f>
        <x:v>0</x:v>
      </x:c>
      <x:c r="BJ17" s="40" t="n">
        <x:f>-'01_入力ページ'!BJ57</x:f>
        <x:v>0</x:v>
      </x:c>
    </x:row>
    <x:row r="18">
      <x:c r="A18" s="12" t="str">
        <x:v>財務CF</x:v>
      </x:c>
      <x:c r="B18" s="12" t="str">
        <x:v>財務CF</x:v>
      </x:c>
      <x:c r="C18" s="40" t="n">
        <x:f>SUM(C14:C17)</x:f>
        <x:v>0</x:v>
      </x:c>
      <x:c r="D18" s="40" t="n">
        <x:f>SUM(D14:D17)</x:f>
        <x:v>0</x:v>
      </x:c>
      <x:c r="E18" s="40" t="n">
        <x:f>SUM(E14:E17)</x:f>
        <x:v>0</x:v>
      </x:c>
      <x:c r="F18" s="40" t="n">
        <x:f>SUM(F14:F17)</x:f>
        <x:v>0</x:v>
      </x:c>
      <x:c r="G18" s="40" t="n">
        <x:f>SUM(G14:G17)</x:f>
        <x:v>0</x:v>
      </x:c>
      <x:c r="H18" s="40" t="n">
        <x:f>SUM(H14:H17)</x:f>
        <x:v>0</x:v>
      </x:c>
      <x:c r="I18" s="40" t="n">
        <x:f>SUM(I14:I17)</x:f>
        <x:v>0</x:v>
      </x:c>
      <x:c r="J18" s="40" t="n">
        <x:f>SUM(J14:J17)</x:f>
        <x:v>0</x:v>
      </x:c>
      <x:c r="K18" s="40" t="n">
        <x:f>SUM(K14:K17)</x:f>
        <x:v>0</x:v>
      </x:c>
      <x:c r="L18" s="40" t="n">
        <x:f>SUM(L14:L17)</x:f>
        <x:v>0</x:v>
      </x:c>
      <x:c r="M18" s="40" t="n">
        <x:f>SUM(M14:M17)</x:f>
        <x:v>0</x:v>
      </x:c>
      <x:c r="N18" s="40" t="n">
        <x:f>SUM(N14:N17)</x:f>
        <x:v>0</x:v>
      </x:c>
      <x:c r="O18" s="40" t="n">
        <x:f>SUM(O14:O17)</x:f>
        <x:v>0</x:v>
      </x:c>
      <x:c r="P18" s="40" t="n">
        <x:f>SUM(P14:P17)</x:f>
        <x:v>0</x:v>
      </x:c>
      <x:c r="Q18" s="40" t="n">
        <x:f>SUM(Q14:Q17)</x:f>
        <x:v>0</x:v>
      </x:c>
      <x:c r="R18" s="40" t="n">
        <x:f>SUM(R14:R17)</x:f>
        <x:v>0</x:v>
      </x:c>
      <x:c r="S18" s="40" t="n">
        <x:f>SUM(S14:S17)</x:f>
        <x:v>0</x:v>
      </x:c>
      <x:c r="T18" s="40" t="n">
        <x:f>SUM(T14:T17)</x:f>
        <x:v>0</x:v>
      </x:c>
      <x:c r="U18" s="40" t="n">
        <x:f>SUM(U14:U17)</x:f>
        <x:v>0</x:v>
      </x:c>
      <x:c r="V18" s="40" t="n">
        <x:f>SUM(V14:V17)</x:f>
        <x:v>0</x:v>
      </x:c>
      <x:c r="W18" s="40" t="n">
        <x:f>SUM(W14:W17)</x:f>
        <x:v>0</x:v>
      </x:c>
      <x:c r="X18" s="40" t="n">
        <x:f>SUM(X14:X17)</x:f>
        <x:v>0</x:v>
      </x:c>
      <x:c r="Y18" s="40" t="n">
        <x:f>SUM(Y14:Y17)</x:f>
        <x:v>0</x:v>
      </x:c>
      <x:c r="Z18" s="40" t="n">
        <x:f>SUM(Z14:Z17)</x:f>
        <x:v>0</x:v>
      </x:c>
      <x:c r="AA18" s="40" t="n">
        <x:f>SUM(AA14:AA17)</x:f>
        <x:v>0</x:v>
      </x:c>
      <x:c r="AB18" s="40" t="n">
        <x:f>SUM(AB14:AB17)</x:f>
        <x:v>0</x:v>
      </x:c>
      <x:c r="AC18" s="40" t="n">
        <x:f>SUM(AC14:AC17)</x:f>
        <x:v>0</x:v>
      </x:c>
      <x:c r="AD18" s="40" t="n">
        <x:f>SUM(AD14:AD17)</x:f>
        <x:v>0</x:v>
      </x:c>
      <x:c r="AE18" s="40" t="n">
        <x:f>SUM(AE14:AE17)</x:f>
        <x:v>0</x:v>
      </x:c>
      <x:c r="AF18" s="40" t="n">
        <x:f>SUM(AF14:AF17)</x:f>
        <x:v>0</x:v>
      </x:c>
      <x:c r="AG18" s="40" t="n">
        <x:f>SUM(AG14:AG17)</x:f>
        <x:v>0</x:v>
      </x:c>
      <x:c r="AH18" s="40" t="n">
        <x:f>SUM(AH14:AH17)</x:f>
        <x:v>0</x:v>
      </x:c>
      <x:c r="AI18" s="40" t="n">
        <x:f>SUM(AI14:AI17)</x:f>
        <x:v>0</x:v>
      </x:c>
      <x:c r="AJ18" s="40" t="n">
        <x:f>SUM(AJ14:AJ17)</x:f>
        <x:v>0</x:v>
      </x:c>
      <x:c r="AK18" s="40" t="n">
        <x:f>SUM(AK14:AK17)</x:f>
        <x:v>0</x:v>
      </x:c>
      <x:c r="AL18" s="40" t="n">
        <x:f>SUM(AL14:AL17)</x:f>
        <x:v>0</x:v>
      </x:c>
      <x:c r="AM18" s="40" t="n">
        <x:f>SUM(AM14:AM17)</x:f>
        <x:v>0</x:v>
      </x:c>
      <x:c r="AN18" s="40" t="n">
        <x:f>SUM(AN14:AN17)</x:f>
        <x:v>0</x:v>
      </x:c>
      <x:c r="AO18" s="40" t="n">
        <x:f>SUM(AO14:AO17)</x:f>
        <x:v>0</x:v>
      </x:c>
      <x:c r="AP18" s="40" t="n">
        <x:f>SUM(AP14:AP17)</x:f>
        <x:v>0</x:v>
      </x:c>
      <x:c r="AQ18" s="40" t="n">
        <x:f>SUM(AQ14:AQ17)</x:f>
        <x:v>0</x:v>
      </x:c>
      <x:c r="AR18" s="40" t="n">
        <x:f>SUM(AR14:AR17)</x:f>
        <x:v>0</x:v>
      </x:c>
      <x:c r="AS18" s="40" t="n">
        <x:f>SUM(AS14:AS17)</x:f>
        <x:v>0</x:v>
      </x:c>
      <x:c r="AT18" s="40" t="n">
        <x:f>SUM(AT14:AT17)</x:f>
        <x:v>0</x:v>
      </x:c>
      <x:c r="AU18" s="40" t="n">
        <x:f>SUM(AU14:AU17)</x:f>
        <x:v>0</x:v>
      </x:c>
      <x:c r="AV18" s="40" t="n">
        <x:f>SUM(AV14:AV17)</x:f>
        <x:v>0</x:v>
      </x:c>
      <x:c r="AW18" s="40" t="n">
        <x:f>SUM(AW14:AW17)</x:f>
        <x:v>0</x:v>
      </x:c>
      <x:c r="AX18" s="40" t="n">
        <x:f>SUM(AX14:AX17)</x:f>
        <x:v>0</x:v>
      </x:c>
      <x:c r="AY18" s="40" t="n">
        <x:f>SUM(AY14:AY17)</x:f>
        <x:v>0</x:v>
      </x:c>
      <x:c r="AZ18" s="40" t="n">
        <x:f>SUM(AZ14:AZ17)</x:f>
        <x:v>0</x:v>
      </x:c>
      <x:c r="BA18" s="40" t="n">
        <x:f>SUM(BA14:BA17)</x:f>
        <x:v>0</x:v>
      </x:c>
      <x:c r="BB18" s="40" t="n">
        <x:f>SUM(BB14:BB17)</x:f>
        <x:v>0</x:v>
      </x:c>
      <x:c r="BC18" s="40" t="n">
        <x:f>SUM(BC14:BC17)</x:f>
        <x:v>0</x:v>
      </x:c>
      <x:c r="BD18" s="40" t="n">
        <x:f>SUM(BD14:BD17)</x:f>
        <x:v>0</x:v>
      </x:c>
      <x:c r="BE18" s="40" t="n">
        <x:f>SUM(BE14:BE17)</x:f>
        <x:v>0</x:v>
      </x:c>
      <x:c r="BF18" s="40" t="n">
        <x:f>SUM(BF14:BF17)</x:f>
        <x:v>0</x:v>
      </x:c>
      <x:c r="BG18" s="40" t="n">
        <x:f>SUM(BG14:BG17)</x:f>
        <x:v>0</x:v>
      </x:c>
      <x:c r="BH18" s="40" t="n">
        <x:f>SUM(BH14:BH17)</x:f>
        <x:v>0</x:v>
      </x:c>
      <x:c r="BI18" s="40" t="n">
        <x:f>SUM(BI14:BI17)</x:f>
        <x:v>0</x:v>
      </x:c>
      <x:c r="BJ18" s="40" t="n">
        <x:f>SUM(BJ14:BJ17)</x:f>
        <x:v>0</x:v>
      </x:c>
    </x:row>
    <x:row r="19">
      <x:c r="A19" s="12" t="str">
        <x:v>現預金</x:v>
      </x:c>
      <x:c r="B19" s="12" t="str">
        <x:v>現預金増減</x:v>
      </x:c>
      <x:c r="C19" s="40" t="n">
        <x:f>SUM(C11,C13,C18)</x:f>
        <x:v>1127.1401666666666</x:v>
      </x:c>
      <x:c r="D19" s="40" t="n">
        <x:f>SUM(D11,D13,D18)</x:f>
        <x:v>-60.12453736559121</x:v>
      </x:c>
      <x:c r="E19" s="40" t="n">
        <x:f>SUM(E11,E13,E18)</x:f>
        <x:v>-44.77695430107542</x:v>
      </x:c>
      <x:c r="F19" s="40" t="n">
        <x:f>SUM(F11,F13,F18)</x:f>
        <x:v>957.218587634409</x:v>
      </x:c>
      <x:c r="G19" s="40" t="n">
        <x:f>SUM(G11,G13,G18)</x:f>
        <x:v>1252.2409666666672</x:v>
      </x:c>
      <x:c r="H19" s="40" t="n">
        <x:f>SUM(H11,H13,H18)</x:f>
        <x:v>237.72929569892494</x:v>
      </x:c>
      <x:c r="I19" s="40" t="n">
        <x:f>SUM(I11,I13,I18)</x:f>
        <x:v>-60.12453736559121</x:v>
      </x:c>
      <x:c r="J19" s="40" t="n">
        <x:f>SUM(J11,J13,J18)</x:f>
        <x:v>-44.77695430107542</x:v>
      </x:c>
      <x:c r="K19" s="40" t="n">
        <x:f>SUM(K11,K13,K18)</x:f>
        <x:v>957.218587634409</x:v>
      </x:c>
      <x:c r="L19" s="40" t="n">
        <x:f>SUM(L11,L13,L18)</x:f>
        <x:v>2097.213241666666</x:v>
      </x:c>
      <x:c r="M19" s="40" t="n">
        <x:f>SUM(M11,M13,M18)</x:f>
        <x:v>2179.1351814132104</x:v>
      </x:c>
      <x:c r="N19" s="40" t="n">
        <x:f>SUM(N11,N13,N18)</x:f>
        <x:v>753.0451269201217</x:v>
      </x:c>
      <x:c r="O19" s="40" t="n">
        <x:f>SUM(O11,O13,O18)</x:f>
        <x:v>-6.38745430107474</x:v>
      </x:c>
      <x:c r="P19" s="40" t="n">
        <x:f>SUM(P11,P13,P18)</x:f>
        <x:v>-60.12453736559121</x:v>
      </x:c>
      <x:c r="Q19" s="40" t="n">
        <x:f>SUM(Q11,Q13,Q18)</x:f>
        <x:v>-44.77695430107542</x:v>
      </x:c>
      <x:c r="R19" s="40" t="n">
        <x:f>SUM(R11,R13,R18)</x:f>
        <x:v>957.218587634409</x:v>
      </x:c>
      <x:c r="S19" s="40" t="n">
        <x:f>SUM(S11,S13,S18)</x:f>
        <x:v>1252.2409666666672</x:v>
      </x:c>
      <x:c r="T19" s="40" t="n">
        <x:f>SUM(T11,T13,T18)</x:f>
        <x:v>237.72929569892494</x:v>
      </x:c>
      <x:c r="U19" s="40" t="n">
        <x:f>SUM(U11,U13,U18)</x:f>
        <x:v>-60.12453736559121</x:v>
      </x:c>
      <x:c r="V19" s="40" t="n">
        <x:f>SUM(V11,V13,V18)</x:f>
        <x:v>-44.77695430107542</x:v>
      </x:c>
      <x:c r="W19" s="40" t="n">
        <x:f>SUM(W11,W13,W18)</x:f>
        <x:v>957.218587634409</x:v>
      </x:c>
      <x:c r="X19" s="40" t="n">
        <x:f>SUM(X11,X13,X18)</x:f>
        <x:v>2097.213241666666</x:v>
      </x:c>
      <x:c r="Y19" s="40" t="n">
        <x:f>SUM(Y11,Y13,Y18)</x:f>
        <x:v>2253.612281043752</x:v>
      </x:c>
      <x:c r="Z19" s="40" t="n">
        <x:f>SUM(Z11,Z13,Z18)</x:f>
        <x:v>767.3801022895809</x:v>
      </x:c>
      <x:c r="AA19" s="40" t="n">
        <x:f>SUM(AA11,AA13,AA18)</x:f>
        <x:v>-6.38745430107474</x:v>
      </x:c>
      <x:c r="AB19" s="40" t="n">
        <x:f>SUM(AB11,AB13,AB18)</x:f>
        <x:v>-60.12453736559121</x:v>
      </x:c>
      <x:c r="AC19" s="40" t="n">
        <x:f>SUM(AC11,AC13,AC18)</x:f>
        <x:v>-44.77695430107542</x:v>
      </x:c>
      <x:c r="AD19" s="40" t="n">
        <x:f>SUM(AD11,AD13,AD18)</x:f>
        <x:v>957.218587634409</x:v>
      </x:c>
      <x:c r="AE19" s="40" t="n">
        <x:f>SUM(AE11,AE13,AE18)</x:f>
        <x:v>1252.2409666666672</x:v>
      </x:c>
      <x:c r="AF19" s="40" t="n">
        <x:f>SUM(AF11,AF13,AF18)</x:f>
        <x:v>237.72929569892494</x:v>
      </x:c>
      <x:c r="AG19" s="40" t="n">
        <x:f>SUM(AG11,AG13,AG18)</x:f>
        <x:v>-60.12453736559121</x:v>
      </x:c>
      <x:c r="AH19" s="40" t="n">
        <x:f>SUM(AH11,AH13,AH18)</x:f>
        <x:v>-44.77695430107542</x:v>
      </x:c>
      <x:c r="AI19" s="40" t="n">
        <x:f>SUM(AI11,AI13,AI18)</x:f>
        <x:v>957.218587634409</x:v>
      </x:c>
      <x:c r="AJ19" s="40" t="n">
        <x:f>SUM(AJ11,AJ13,AJ18)</x:f>
        <x:v>2097.213241666666</x:v>
      </x:c>
      <x:c r="AK19" s="40" t="n">
        <x:f>SUM(AK11,AK13,AK18)</x:f>
        <x:v>2179.1351814132104</x:v>
      </x:c>
      <x:c r="AL19" s="40" t="n">
        <x:f>SUM(AL11,AL13,AL18)</x:f>
        <x:v>753.0451269201217</x:v>
      </x:c>
      <x:c r="AM19" s="40" t="n">
        <x:f>SUM(AM11,AM13,AM18)</x:f>
        <x:v>-6.38745430107474</x:v>
      </x:c>
      <x:c r="AN19" s="40" t="n">
        <x:f>SUM(AN11,AN13,AN18)</x:f>
        <x:v>-60.12453736559121</x:v>
      </x:c>
      <x:c r="AO19" s="40" t="n">
        <x:f>SUM(AO11,AO13,AO18)</x:f>
        <x:v>-44.77695430107542</x:v>
      </x:c>
      <x:c r="AP19" s="40" t="n">
        <x:f>SUM(AP11,AP13,AP18)</x:f>
        <x:v>957.218587634409</x:v>
      </x:c>
      <x:c r="AQ19" s="40" t="n">
        <x:f>SUM(AQ11,AQ13,AQ18)</x:f>
        <x:v>1252.2409666666672</x:v>
      </x:c>
      <x:c r="AR19" s="40" t="n">
        <x:f>SUM(AR11,AR13,AR18)</x:f>
        <x:v>237.72929569892494</x:v>
      </x:c>
      <x:c r="AS19" s="40" t="n">
        <x:f>SUM(AS11,AS13,AS18)</x:f>
        <x:v>-60.12453736559121</x:v>
      </x:c>
      <x:c r="AT19" s="40" t="n">
        <x:f>SUM(AT11,AT13,AT18)</x:f>
        <x:v>-44.77695430107542</x:v>
      </x:c>
      <x:c r="AU19" s="40" t="n">
        <x:f>SUM(AU11,AU13,AU18)</x:f>
        <x:v>957.218587634409</x:v>
      </x:c>
      <x:c r="AV19" s="40" t="n">
        <x:f>SUM(AV11,AV13,AV18)</x:f>
        <x:v>2097.213241666666</x:v>
      </x:c>
      <x:c r="AW19" s="40" t="n">
        <x:f>SUM(AW11,AW13,AW18)</x:f>
        <x:v>2179.1351814132104</x:v>
      </x:c>
      <x:c r="AX19" s="40" t="n">
        <x:f>SUM(AX11,AX13,AX18)</x:f>
        <x:v>753.0451269201217</x:v>
      </x:c>
      <x:c r="AY19" s="40" t="n">
        <x:f>SUM(AY11,AY13,AY18)</x:f>
        <x:v>-6.38745430107474</x:v>
      </x:c>
      <x:c r="AZ19" s="40" t="n">
        <x:f>SUM(AZ11,AZ13,AZ18)</x:f>
        <x:v>-60.12453736559121</x:v>
      </x:c>
      <x:c r="BA19" s="40" t="n">
        <x:f>SUM(BA11,BA13,BA18)</x:f>
        <x:v>-44.77695430107542</x:v>
      </x:c>
      <x:c r="BB19" s="40" t="n">
        <x:f>SUM(BB11,BB13,BB18)</x:f>
        <x:v>957.218587634409</x:v>
      </x:c>
      <x:c r="BC19" s="40" t="n">
        <x:f>SUM(BC11,BC13,BC18)</x:f>
        <x:v>1252.2409666666672</x:v>
      </x:c>
      <x:c r="BD19" s="40" t="n">
        <x:f>SUM(BD11,BD13,BD18)</x:f>
        <x:v>237.72929569892494</x:v>
      </x:c>
      <x:c r="BE19" s="40" t="n">
        <x:f>SUM(BE11,BE13,BE18)</x:f>
        <x:v>-60.12453736559121</x:v>
      </x:c>
      <x:c r="BF19" s="40" t="n">
        <x:f>SUM(BF11,BF13,BF18)</x:f>
        <x:v>-44.77695430107542</x:v>
      </x:c>
      <x:c r="BG19" s="40" t="n">
        <x:f>SUM(BG11,BG13,BG18)</x:f>
        <x:v>957.218587634409</x:v>
      </x:c>
      <x:c r="BH19" s="40" t="n">
        <x:f>SUM(BH11,BH13,BH18)</x:f>
        <x:v>2097.213241666666</x:v>
      </x:c>
      <x:c r="BI19" s="40" t="n">
        <x:f>SUM(BI11,BI13,BI18)</x:f>
        <x:v>2179.1351814132104</x:v>
      </x:c>
      <x:c r="BJ19" s="40" t="n">
        <x:f>SUM(BJ11,BJ13,BJ18)</x:f>
        <x:v>753.0451269201217</x:v>
      </x:c>
    </x:row>
    <x:row r="20">
      <x:c r="A20" s="12" t="str">
        <x:v>現預金</x:v>
      </x:c>
      <x:c r="B20" s="12" t="str">
        <x:v>期首現預金</x:v>
      </x:c>
      <x:c r="C20" s="40" t="n">
        <x:v>26260</x:v>
      </x:c>
      <x:c r="D20" s="40" t="n">
        <x:f>'07_BS'!C6</x:f>
        <x:v>27387.140166666668</x:v>
      </x:c>
      <x:c r="E20" s="40" t="n">
        <x:f>'07_BS'!D6</x:f>
        <x:v>27327.015629301077</x:v>
      </x:c>
      <x:c r="F20" s="40" t="n">
        <x:f>'07_BS'!E6</x:f>
        <x:v>27282.238675</x:v>
      </x:c>
      <x:c r="G20" s="40" t="n">
        <x:f>'07_BS'!F6</x:f>
        <x:v>28239.45726263441</x:v>
      </x:c>
      <x:c r="H20" s="40" t="n">
        <x:f>'07_BS'!G6</x:f>
        <x:v>29491.698229301077</x:v>
      </x:c>
      <x:c r="I20" s="40" t="n">
        <x:f>'07_BS'!H6</x:f>
        <x:v>29729.427525000003</x:v>
      </x:c>
      <x:c r="J20" s="40" t="n">
        <x:f>'07_BS'!I6</x:f>
        <x:v>29669.30298763441</x:v>
      </x:c>
      <x:c r="K20" s="40" t="n">
        <x:f>'07_BS'!J6</x:f>
        <x:v>29624.526033333335</x:v>
      </x:c>
      <x:c r="L20" s="40" t="n">
        <x:f>'07_BS'!K6</x:f>
        <x:v>30581.744620967744</x:v>
      </x:c>
      <x:c r="M20" s="40" t="n">
        <x:f>'07_BS'!L6</x:f>
        <x:v>32678.95786263441</x:v>
      </x:c>
      <x:c r="N20" s="40" t="n">
        <x:f>'07_BS'!M6</x:f>
        <x:v>34858.09304404762</x:v>
      </x:c>
      <x:c r="O20" s="40" t="n">
        <x:f>'07_BS'!N6</x:f>
        <x:v>35611.138170967744</x:v>
      </x:c>
      <x:c r="P20" s="40" t="n">
        <x:f>'07_BS'!O6</x:f>
        <x:v>35604.75071666667</x:v>
      </x:c>
      <x:c r="Q20" s="40" t="n">
        <x:f>'07_BS'!P6</x:f>
        <x:v>35544.62617930108</x:v>
      </x:c>
      <x:c r="R20" s="40" t="n">
        <x:f>'07_BS'!Q6</x:f>
        <x:v>35499.849225000005</x:v>
      </x:c>
      <x:c r="S20" s="40" t="n">
        <x:f>'07_BS'!R6</x:f>
        <x:v>36457.067812634414</x:v>
      </x:c>
      <x:c r="T20" s="40" t="n">
        <x:f>'07_BS'!S6</x:f>
        <x:v>37709.30877930108</x:v>
      </x:c>
      <x:c r="U20" s="40" t="n">
        <x:f>'07_BS'!T6</x:f>
        <x:v>37947.038075000004</x:v>
      </x:c>
      <x:c r="V20" s="40" t="n">
        <x:f>'07_BS'!U6</x:f>
        <x:v>37886.91353763441</x:v>
      </x:c>
      <x:c r="W20" s="40" t="n">
        <x:f>'07_BS'!V6</x:f>
        <x:v>37842.13658333334</x:v>
      </x:c>
      <x:c r="X20" s="40" t="n">
        <x:f>'07_BS'!W6</x:f>
        <x:v>38799.35517096775</x:v>
      </x:c>
      <x:c r="Y20" s="40" t="n">
        <x:f>'07_BS'!X6</x:f>
        <x:v>40896.56841263441</x:v>
      </x:c>
      <x:c r="Z20" s="40" t="n">
        <x:f>'07_BS'!Y6</x:f>
        <x:v>43150.180693678165</x:v>
      </x:c>
      <x:c r="AA20" s="40" t="n">
        <x:f>'07_BS'!Z6</x:f>
        <x:v>43917.56079596774</x:v>
      </x:c>
      <x:c r="AB20" s="40" t="n">
        <x:f>'07_BS'!AA6</x:f>
        <x:v>43911.17334166667</x:v>
      </x:c>
      <x:c r="AC20" s="40" t="n">
        <x:f>'07_BS'!AB6</x:f>
        <x:v>43851.04880430108</x:v>
      </x:c>
      <x:c r="AD20" s="40" t="n">
        <x:f>'07_BS'!AC6</x:f>
        <x:v>43806.271850000005</x:v>
      </x:c>
      <x:c r="AE20" s="40" t="n">
        <x:f>'07_BS'!AD6</x:f>
        <x:v>44763.49043763441</x:v>
      </x:c>
      <x:c r="AF20" s="40" t="n">
        <x:f>'07_BS'!AE6</x:f>
        <x:v>46015.73140430108</x:v>
      </x:c>
      <x:c r="AG20" s="40" t="n">
        <x:f>'07_BS'!AF6</x:f>
        <x:v>46253.4607</x:v>
      </x:c>
      <x:c r="AH20" s="40" t="n">
        <x:f>'07_BS'!AG6</x:f>
        <x:v>46193.33616263441</x:v>
      </x:c>
      <x:c r="AI20" s="40" t="n">
        <x:f>'07_BS'!AH6</x:f>
        <x:v>46148.55920833334</x:v>
      </x:c>
      <x:c r="AJ20" s="40" t="n">
        <x:f>'07_BS'!AI6</x:f>
        <x:v>47105.77779596775</x:v>
      </x:c>
      <x:c r="AK20" s="40" t="n">
        <x:f>'07_BS'!AJ6</x:f>
        <x:v>49202.99103763441</x:v>
      </x:c>
      <x:c r="AL20" s="40" t="n">
        <x:f>'07_BS'!AK6</x:f>
        <x:v>51382.12621904763</x:v>
      </x:c>
      <x:c r="AM20" s="40" t="n">
        <x:f>'07_BS'!AL6</x:f>
        <x:v>52135.17134596775</x:v>
      </x:c>
      <x:c r="AN20" s="40" t="n">
        <x:f>'07_BS'!AM6</x:f>
        <x:v>52128.78389166667</x:v>
      </x:c>
      <x:c r="AO20" s="40" t="n">
        <x:f>'07_BS'!AN6</x:f>
        <x:v>52068.65935430108</x:v>
      </x:c>
      <x:c r="AP20" s="40" t="n">
        <x:f>'07_BS'!AO6</x:f>
        <x:v>52023.88240000001</x:v>
      </x:c>
      <x:c r="AQ20" s="40" t="n">
        <x:f>'07_BS'!AP6</x:f>
        <x:v>52981.10098763442</x:v>
      </x:c>
      <x:c r="AR20" s="40" t="n">
        <x:f>'07_BS'!AQ6</x:f>
        <x:v>54233.34195430108</x:v>
      </x:c>
      <x:c r="AS20" s="40" t="n">
        <x:f>'07_BS'!AR6</x:f>
        <x:v>54471.07125000001</x:v>
      </x:c>
      <x:c r="AT20" s="40" t="n">
        <x:f>'07_BS'!AS6</x:f>
        <x:v>54410.94671263442</x:v>
      </x:c>
      <x:c r="AU20" s="40" t="n">
        <x:f>'07_BS'!AT6</x:f>
        <x:v>54366.169758333344</x:v>
      </x:c>
      <x:c r="AV20" s="40" t="n">
        <x:f>'07_BS'!AU6</x:f>
        <x:v>55323.38834596775</x:v>
      </x:c>
      <x:c r="AW20" s="40" t="n">
        <x:f>'07_BS'!AV6</x:f>
        <x:v>57420.60158763442</x:v>
      </x:c>
      <x:c r="AX20" s="40" t="n">
        <x:f>'07_BS'!AW6</x:f>
        <x:v>59599.736769047624</x:v>
      </x:c>
      <x:c r="AY20" s="40" t="n">
        <x:f>'07_BS'!AX6</x:f>
        <x:v>60352.781895967746</x:v>
      </x:c>
      <x:c r="AZ20" s="40" t="n">
        <x:f>'07_BS'!AY6</x:f>
        <x:v>60346.39444166667</x:v>
      </x:c>
      <x:c r="BA20" s="40" t="n">
        <x:f>'07_BS'!AZ6</x:f>
        <x:v>60286.26990430108</x:v>
      </x:c>
      <x:c r="BB20" s="40" t="n">
        <x:f>'07_BS'!BA6</x:f>
        <x:v>60241.49295000001</x:v>
      </x:c>
      <x:c r="BC20" s="40" t="n">
        <x:f>'07_BS'!BB6</x:f>
        <x:v>61198.711537634415</x:v>
      </x:c>
      <x:c r="BD20" s="40" t="n">
        <x:f>'07_BS'!BC6</x:f>
        <x:v>62450.95250430108</x:v>
      </x:c>
      <x:c r="BE20" s="40" t="n">
        <x:f>'07_BS'!BD6</x:f>
        <x:v>62688.681800000006</x:v>
      </x:c>
      <x:c r="BF20" s="40" t="n">
        <x:f>'07_BS'!BE6</x:f>
        <x:v>62628.557262634415</x:v>
      </x:c>
      <x:c r="BG20" s="40" t="n">
        <x:f>'07_BS'!BF6</x:f>
        <x:v>62583.78030833334</x:v>
      </x:c>
      <x:c r="BH20" s="40" t="n">
        <x:f>'07_BS'!BG6</x:f>
        <x:v>63540.99889596775</x:v>
      </x:c>
      <x:c r="BI20" s="40" t="n">
        <x:f>'07_BS'!BH6</x:f>
        <x:v>65638.21213763441</x:v>
      </x:c>
      <x:c r="BJ20" s="40" t="n">
        <x:f>'07_BS'!BI6</x:f>
        <x:v>67817.34731904762</x:v>
      </x:c>
    </x:row>
    <x:row r="21">
      <x:c r="A21" s="12" t="str">
        <x:v>現預金</x:v>
      </x:c>
      <x:c r="B21" s="12" t="str">
        <x:v>期末現預金</x:v>
      </x:c>
      <x:c r="C21" s="40" t="n">
        <x:f>'07_BS'!C6</x:f>
        <x:v>27387.140166666668</x:v>
      </x:c>
      <x:c r="D21" s="40" t="n">
        <x:f>'07_BS'!D6</x:f>
        <x:v>27327.015629301077</x:v>
      </x:c>
      <x:c r="E21" s="40" t="n">
        <x:f>'07_BS'!E6</x:f>
        <x:v>27282.238675</x:v>
      </x:c>
      <x:c r="F21" s="40" t="n">
        <x:f>'07_BS'!F6</x:f>
        <x:v>28239.45726263441</x:v>
      </x:c>
      <x:c r="G21" s="40" t="n">
        <x:f>'07_BS'!G6</x:f>
        <x:v>29491.698229301077</x:v>
      </x:c>
      <x:c r="H21" s="40" t="n">
        <x:f>'07_BS'!H6</x:f>
        <x:v>29729.427525000003</x:v>
      </x:c>
      <x:c r="I21" s="40" t="n">
        <x:f>'07_BS'!I6</x:f>
        <x:v>29669.30298763441</x:v>
      </x:c>
      <x:c r="J21" s="40" t="n">
        <x:f>'07_BS'!J6</x:f>
        <x:v>29624.526033333335</x:v>
      </x:c>
      <x:c r="K21" s="40" t="n">
        <x:f>'07_BS'!K6</x:f>
        <x:v>30581.744620967744</x:v>
      </x:c>
      <x:c r="L21" s="40" t="n">
        <x:f>'07_BS'!L6</x:f>
        <x:v>32678.95786263441</x:v>
      </x:c>
      <x:c r="M21" s="40" t="n">
        <x:f>'07_BS'!M6</x:f>
        <x:v>34858.09304404762</x:v>
      </x:c>
      <x:c r="N21" s="40" t="n">
        <x:f>'07_BS'!N6</x:f>
        <x:v>35611.138170967744</x:v>
      </x:c>
      <x:c r="O21" s="40" t="n">
        <x:f>'07_BS'!O6</x:f>
        <x:v>35604.75071666667</x:v>
      </x:c>
      <x:c r="P21" s="40" t="n">
        <x:f>'07_BS'!P6</x:f>
        <x:v>35544.62617930108</x:v>
      </x:c>
      <x:c r="Q21" s="40" t="n">
        <x:f>'07_BS'!Q6</x:f>
        <x:v>35499.849225000005</x:v>
      </x:c>
      <x:c r="R21" s="40" t="n">
        <x:f>'07_BS'!R6</x:f>
        <x:v>36457.067812634414</x:v>
      </x:c>
      <x:c r="S21" s="40" t="n">
        <x:f>'07_BS'!S6</x:f>
        <x:v>37709.30877930108</x:v>
      </x:c>
      <x:c r="T21" s="40" t="n">
        <x:f>'07_BS'!T6</x:f>
        <x:v>37947.038075000004</x:v>
      </x:c>
      <x:c r="U21" s="40" t="n">
        <x:f>'07_BS'!U6</x:f>
        <x:v>37886.91353763441</x:v>
      </x:c>
      <x:c r="V21" s="40" t="n">
        <x:f>'07_BS'!V6</x:f>
        <x:v>37842.13658333334</x:v>
      </x:c>
      <x:c r="W21" s="40" t="n">
        <x:f>'07_BS'!W6</x:f>
        <x:v>38799.35517096775</x:v>
      </x:c>
      <x:c r="X21" s="40" t="n">
        <x:f>'07_BS'!X6</x:f>
        <x:v>40896.56841263441</x:v>
      </x:c>
      <x:c r="Y21" s="40" t="n">
        <x:f>'07_BS'!Y6</x:f>
        <x:v>43150.180693678165</x:v>
      </x:c>
      <x:c r="Z21" s="40" t="n">
        <x:f>'07_BS'!Z6</x:f>
        <x:v>43917.56079596774</x:v>
      </x:c>
      <x:c r="AA21" s="40" t="n">
        <x:f>'07_BS'!AA6</x:f>
        <x:v>43911.17334166667</x:v>
      </x:c>
      <x:c r="AB21" s="40" t="n">
        <x:f>'07_BS'!AB6</x:f>
        <x:v>43851.04880430108</x:v>
      </x:c>
      <x:c r="AC21" s="40" t="n">
        <x:f>'07_BS'!AC6</x:f>
        <x:v>43806.271850000005</x:v>
      </x:c>
      <x:c r="AD21" s="40" t="n">
        <x:f>'07_BS'!AD6</x:f>
        <x:v>44763.49043763441</x:v>
      </x:c>
      <x:c r="AE21" s="40" t="n">
        <x:f>'07_BS'!AE6</x:f>
        <x:v>46015.73140430108</x:v>
      </x:c>
      <x:c r="AF21" s="40" t="n">
        <x:f>'07_BS'!AF6</x:f>
        <x:v>46253.4607</x:v>
      </x:c>
      <x:c r="AG21" s="40" t="n">
        <x:f>'07_BS'!AG6</x:f>
        <x:v>46193.33616263441</x:v>
      </x:c>
      <x:c r="AH21" s="40" t="n">
        <x:f>'07_BS'!AH6</x:f>
        <x:v>46148.55920833334</x:v>
      </x:c>
      <x:c r="AI21" s="40" t="n">
        <x:f>'07_BS'!AI6</x:f>
        <x:v>47105.77779596775</x:v>
      </x:c>
      <x:c r="AJ21" s="40" t="n">
        <x:f>'07_BS'!AJ6</x:f>
        <x:v>49202.99103763441</x:v>
      </x:c>
      <x:c r="AK21" s="40" t="n">
        <x:f>'07_BS'!AK6</x:f>
        <x:v>51382.12621904763</x:v>
      </x:c>
      <x:c r="AL21" s="40" t="n">
        <x:f>'07_BS'!AL6</x:f>
        <x:v>52135.17134596775</x:v>
      </x:c>
      <x:c r="AM21" s="40" t="n">
        <x:f>'07_BS'!AM6</x:f>
        <x:v>52128.78389166667</x:v>
      </x:c>
      <x:c r="AN21" s="40" t="n">
        <x:f>'07_BS'!AN6</x:f>
        <x:v>52068.65935430108</x:v>
      </x:c>
      <x:c r="AO21" s="40" t="n">
        <x:f>'07_BS'!AO6</x:f>
        <x:v>52023.88240000001</x:v>
      </x:c>
      <x:c r="AP21" s="40" t="n">
        <x:f>'07_BS'!AP6</x:f>
        <x:v>52981.10098763442</x:v>
      </x:c>
      <x:c r="AQ21" s="40" t="n">
        <x:f>'07_BS'!AQ6</x:f>
        <x:v>54233.34195430108</x:v>
      </x:c>
      <x:c r="AR21" s="40" t="n">
        <x:f>'07_BS'!AR6</x:f>
        <x:v>54471.07125000001</x:v>
      </x:c>
      <x:c r="AS21" s="40" t="n">
        <x:f>'07_BS'!AS6</x:f>
        <x:v>54410.94671263442</x:v>
      </x:c>
      <x:c r="AT21" s="40" t="n">
        <x:f>'07_BS'!AT6</x:f>
        <x:v>54366.169758333344</x:v>
      </x:c>
      <x:c r="AU21" s="40" t="n">
        <x:f>'07_BS'!AU6</x:f>
        <x:v>55323.38834596775</x:v>
      </x:c>
      <x:c r="AV21" s="40" t="n">
        <x:f>'07_BS'!AV6</x:f>
        <x:v>57420.60158763442</x:v>
      </x:c>
      <x:c r="AW21" s="40" t="n">
        <x:f>'07_BS'!AW6</x:f>
        <x:v>59599.736769047624</x:v>
      </x:c>
      <x:c r="AX21" s="40" t="n">
        <x:f>'07_BS'!AX6</x:f>
        <x:v>60352.781895967746</x:v>
      </x:c>
      <x:c r="AY21" s="40" t="n">
        <x:f>'07_BS'!AY6</x:f>
        <x:v>60346.39444166667</x:v>
      </x:c>
      <x:c r="AZ21" s="40" t="n">
        <x:f>'07_BS'!AZ6</x:f>
        <x:v>60286.26990430108</x:v>
      </x:c>
      <x:c r="BA21" s="40" t="n">
        <x:f>'07_BS'!BA6</x:f>
        <x:v>60241.49295000001</x:v>
      </x:c>
      <x:c r="BB21" s="40" t="n">
        <x:f>'07_BS'!BB6</x:f>
        <x:v>61198.711537634415</x:v>
      </x:c>
      <x:c r="BC21" s="40" t="n">
        <x:f>'07_BS'!BC6</x:f>
        <x:v>62450.95250430108</x:v>
      </x:c>
      <x:c r="BD21" s="40" t="n">
        <x:f>'07_BS'!BD6</x:f>
        <x:v>62688.681800000006</x:v>
      </x:c>
      <x:c r="BE21" s="40" t="n">
        <x:f>'07_BS'!BE6</x:f>
        <x:v>62628.557262634415</x:v>
      </x:c>
      <x:c r="BF21" s="40" t="n">
        <x:f>'07_BS'!BF6</x:f>
        <x:v>62583.78030833334</x:v>
      </x:c>
      <x:c r="BG21" s="40" t="n">
        <x:f>'07_BS'!BG6</x:f>
        <x:v>63540.99889596775</x:v>
      </x:c>
      <x:c r="BH21" s="40" t="n">
        <x:f>'07_BS'!BH6</x:f>
        <x:v>65638.21213763441</x:v>
      </x:c>
      <x:c r="BI21" s="40" t="n">
        <x:f>'07_BS'!BI6</x:f>
        <x:v>67817.34731904762</x:v>
      </x:c>
      <x:c r="BJ21" s="40" t="n">
        <x:f>'07_BS'!BJ6</x:f>
        <x:v>68570.39244596774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</x:row>
  </x:sheetData>
  <x:mergeCells>
    <x:mergeCell ref="A1:B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借入返済スケジュール｜後入れ可能・3表連動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</x:row>
    <x:row r="2">
      <x:c r="A2" s="2" t="str">
        <x:v>単位</x:v>
      </x:c>
      <x:c r="B2" s="2" t="str">
        <x:v>千円 / % / 回 / 倍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</x:row>
    <x:row r="5">
      <x:c r="A5" s="9" t="str">
        <x:v>区分</x:v>
      </x:c>
      <x:c r="B5" s="9" t="str">
        <x:v>項目</x:v>
      </x:c>
      <x:c r="C5" s="9" t="str">
        <x:v>2026/04</x:v>
      </x:c>
      <x:c r="D5" s="9" t="str">
        <x:v>2026/05</x:v>
      </x:c>
      <x:c r="E5" s="9" t="str">
        <x:v>2026/06</x:v>
      </x:c>
      <x:c r="F5" s="9" t="str">
        <x:v>2026/07</x:v>
      </x:c>
      <x:c r="G5" s="9" t="str">
        <x:v>2026/08</x:v>
      </x:c>
      <x:c r="H5" s="9" t="str">
        <x:v>2026/09</x:v>
      </x:c>
      <x:c r="I5" s="9" t="str">
        <x:v>2026/10</x:v>
      </x:c>
      <x:c r="J5" s="9" t="str">
        <x:v>2026/11</x:v>
      </x:c>
      <x:c r="K5" s="9" t="str">
        <x:v>2026/12</x:v>
      </x:c>
      <x:c r="L5" s="9" t="str">
        <x:v>2027/01</x:v>
      </x:c>
      <x:c r="M5" s="9" t="str">
        <x:v>2027/02</x:v>
      </x:c>
      <x:c r="N5" s="9" t="str">
        <x:v>2027/03</x:v>
      </x:c>
      <x:c r="O5" s="9" t="str">
        <x:v>2027/04</x:v>
      </x:c>
      <x:c r="P5" s="9" t="str">
        <x:v>2027/05</x:v>
      </x:c>
      <x:c r="Q5" s="9" t="str">
        <x:v>2027/06</x:v>
      </x:c>
      <x:c r="R5" s="9" t="str">
        <x:v>2027/07</x:v>
      </x:c>
      <x:c r="S5" s="9" t="str">
        <x:v>2027/08</x:v>
      </x:c>
      <x:c r="T5" s="9" t="str">
        <x:v>2027/09</x:v>
      </x:c>
      <x:c r="U5" s="9" t="str">
        <x:v>2027/10</x:v>
      </x:c>
      <x:c r="V5" s="9" t="str">
        <x:v>2027/11</x:v>
      </x:c>
      <x:c r="W5" s="9" t="str">
        <x:v>2027/12</x:v>
      </x:c>
      <x:c r="X5" s="9" t="str">
        <x:v>2028/01</x:v>
      </x:c>
      <x:c r="Y5" s="9" t="str">
        <x:v>2028/02</x:v>
      </x:c>
      <x:c r="Z5" s="9" t="str">
        <x:v>2028/03</x:v>
      </x:c>
      <x:c r="AA5" s="9" t="str">
        <x:v>2028/04</x:v>
      </x:c>
      <x:c r="AB5" s="9" t="str">
        <x:v>2028/05</x:v>
      </x:c>
      <x:c r="AC5" s="9" t="str">
        <x:v>2028/06</x:v>
      </x:c>
      <x:c r="AD5" s="9" t="str">
        <x:v>2028/07</x:v>
      </x:c>
      <x:c r="AE5" s="9" t="str">
        <x:v>2028/08</x:v>
      </x:c>
      <x:c r="AF5" s="9" t="str">
        <x:v>2028/09</x:v>
      </x:c>
      <x:c r="AG5" s="9" t="str">
        <x:v>2028/10</x:v>
      </x:c>
      <x:c r="AH5" s="9" t="str">
        <x:v>2028/11</x:v>
      </x:c>
      <x:c r="AI5" s="9" t="str">
        <x:v>2028/12</x:v>
      </x:c>
      <x:c r="AJ5" s="9" t="str">
        <x:v>2029/01</x:v>
      </x:c>
      <x:c r="AK5" s="9" t="str">
        <x:v>2029/02</x:v>
      </x:c>
      <x:c r="AL5" s="9" t="str">
        <x:v>2029/03</x:v>
      </x:c>
      <x:c r="AM5" s="9" t="str">
        <x:v>2029/04</x:v>
      </x:c>
      <x:c r="AN5" s="9" t="str">
        <x:v>2029/05</x:v>
      </x:c>
      <x:c r="AO5" s="9" t="str">
        <x:v>2029/06</x:v>
      </x:c>
      <x:c r="AP5" s="9" t="str">
        <x:v>2029/07</x:v>
      </x:c>
      <x:c r="AQ5" s="9" t="str">
        <x:v>2029/08</x:v>
      </x:c>
      <x:c r="AR5" s="9" t="str">
        <x:v>2029/09</x:v>
      </x:c>
      <x:c r="AS5" s="9" t="str">
        <x:v>2029/10</x:v>
      </x:c>
      <x:c r="AT5" s="9" t="str">
        <x:v>2029/11</x:v>
      </x:c>
      <x:c r="AU5" s="9" t="str">
        <x:v>2029/12</x:v>
      </x:c>
      <x:c r="AV5" s="9" t="str">
        <x:v>2030/01</x:v>
      </x:c>
      <x:c r="AW5" s="9" t="str">
        <x:v>2030/02</x:v>
      </x:c>
      <x:c r="AX5" s="9" t="str">
        <x:v>2030/03</x:v>
      </x:c>
      <x:c r="AY5" s="9" t="str">
        <x:v>2030/04</x:v>
      </x:c>
      <x:c r="AZ5" s="9" t="str">
        <x:v>2030/05</x:v>
      </x:c>
      <x:c r="BA5" s="9" t="str">
        <x:v>2030/06</x:v>
      </x:c>
      <x:c r="BB5" s="9" t="str">
        <x:v>2030/07</x:v>
      </x:c>
      <x:c r="BC5" s="9" t="str">
        <x:v>2030/08</x:v>
      </x:c>
      <x:c r="BD5" s="9" t="str">
        <x:v>2030/09</x:v>
      </x:c>
      <x:c r="BE5" s="9" t="str">
        <x:v>2030/10</x:v>
      </x:c>
      <x:c r="BF5" s="9" t="str">
        <x:v>2030/11</x:v>
      </x:c>
      <x:c r="BG5" s="9" t="str">
        <x:v>2030/12</x:v>
      </x:c>
      <x:c r="BH5" s="9" t="str">
        <x:v>2031/01</x:v>
      </x:c>
      <x:c r="BI5" s="9" t="str">
        <x:v>2031/02</x:v>
      </x:c>
      <x:c r="BJ5" s="9" t="str">
        <x:v>2031/03</x:v>
      </x:c>
    </x:row>
    <x:row r="6">
      <x:c r="A6" s="12" t="str">
        <x:v>借入</x:v>
      </x:c>
      <x:c r="B6" s="12" t="str">
        <x:v>期首借入残高</x:v>
      </x:c>
      <x:c r="C6" s="40" t="n">
        <x:v>26300</x:v>
      </x:c>
      <x:c r="D6" s="40" t="n">
        <x:f>C10</x:f>
        <x:v>26300</x:v>
      </x:c>
      <x:c r="E6" s="40" t="n">
        <x:f>D10</x:f>
        <x:v>26300</x:v>
      </x:c>
      <x:c r="F6" s="40" t="n">
        <x:f>E10</x:f>
        <x:v>26300</x:v>
      </x:c>
      <x:c r="G6" s="40" t="n">
        <x:f>F10</x:f>
        <x:v>26300</x:v>
      </x:c>
      <x:c r="H6" s="40" t="n">
        <x:f>G10</x:f>
        <x:v>26300</x:v>
      </x:c>
      <x:c r="I6" s="40" t="n">
        <x:f>H10</x:f>
        <x:v>26300</x:v>
      </x:c>
      <x:c r="J6" s="40" t="n">
        <x:f>I10</x:f>
        <x:v>26300</x:v>
      </x:c>
      <x:c r="K6" s="40" t="n">
        <x:f>J10</x:f>
        <x:v>26300</x:v>
      </x:c>
      <x:c r="L6" s="40" t="n">
        <x:f>K10</x:f>
        <x:v>26300</x:v>
      </x:c>
      <x:c r="M6" s="40" t="n">
        <x:f>L10</x:f>
        <x:v>26300</x:v>
      </x:c>
      <x:c r="N6" s="40" t="n">
        <x:f>M10</x:f>
        <x:v>26300</x:v>
      </x:c>
      <x:c r="O6" s="40" t="n">
        <x:f>N10</x:f>
        <x:v>26300</x:v>
      </x:c>
      <x:c r="P6" s="40" t="n">
        <x:f>O10</x:f>
        <x:v>26300</x:v>
      </x:c>
      <x:c r="Q6" s="40" t="n">
        <x:f>P10</x:f>
        <x:v>26300</x:v>
      </x:c>
      <x:c r="R6" s="40" t="n">
        <x:f>Q10</x:f>
        <x:v>26300</x:v>
      </x:c>
      <x:c r="S6" s="40" t="n">
        <x:f>R10</x:f>
        <x:v>26300</x:v>
      </x:c>
      <x:c r="T6" s="40" t="n">
        <x:f>S10</x:f>
        <x:v>26300</x:v>
      </x:c>
      <x:c r="U6" s="40" t="n">
        <x:f>T10</x:f>
        <x:v>26300</x:v>
      </x:c>
      <x:c r="V6" s="40" t="n">
        <x:f>U10</x:f>
        <x:v>26300</x:v>
      </x:c>
      <x:c r="W6" s="40" t="n">
        <x:f>V10</x:f>
        <x:v>26300</x:v>
      </x:c>
      <x:c r="X6" s="40" t="n">
        <x:f>W10</x:f>
        <x:v>26300</x:v>
      </x:c>
      <x:c r="Y6" s="40" t="n">
        <x:f>X10</x:f>
        <x:v>26300</x:v>
      </x:c>
      <x:c r="Z6" s="40" t="n">
        <x:f>Y10</x:f>
        <x:v>26300</x:v>
      </x:c>
      <x:c r="AA6" s="40" t="n">
        <x:f>Z10</x:f>
        <x:v>26300</x:v>
      </x:c>
      <x:c r="AB6" s="40" t="n">
        <x:f>AA10</x:f>
        <x:v>26300</x:v>
      </x:c>
      <x:c r="AC6" s="40" t="n">
        <x:f>AB10</x:f>
        <x:v>26300</x:v>
      </x:c>
      <x:c r="AD6" s="40" t="n">
        <x:f>AC10</x:f>
        <x:v>26300</x:v>
      </x:c>
      <x:c r="AE6" s="40" t="n">
        <x:f>AD10</x:f>
        <x:v>26300</x:v>
      </x:c>
      <x:c r="AF6" s="40" t="n">
        <x:f>AE10</x:f>
        <x:v>26300</x:v>
      </x:c>
      <x:c r="AG6" s="40" t="n">
        <x:f>AF10</x:f>
        <x:v>26300</x:v>
      </x:c>
      <x:c r="AH6" s="40" t="n">
        <x:f>AG10</x:f>
        <x:v>26300</x:v>
      </x:c>
      <x:c r="AI6" s="40" t="n">
        <x:f>AH10</x:f>
        <x:v>26300</x:v>
      </x:c>
      <x:c r="AJ6" s="40" t="n">
        <x:f>AI10</x:f>
        <x:v>26300</x:v>
      </x:c>
      <x:c r="AK6" s="40" t="n">
        <x:f>AJ10</x:f>
        <x:v>26300</x:v>
      </x:c>
      <x:c r="AL6" s="40" t="n">
        <x:f>AK10</x:f>
        <x:v>26300</x:v>
      </x:c>
      <x:c r="AM6" s="40" t="n">
        <x:f>AL10</x:f>
        <x:v>26300</x:v>
      </x:c>
      <x:c r="AN6" s="40" t="n">
        <x:f>AM10</x:f>
        <x:v>26300</x:v>
      </x:c>
      <x:c r="AO6" s="40" t="n">
        <x:f>AN10</x:f>
        <x:v>26300</x:v>
      </x:c>
      <x:c r="AP6" s="40" t="n">
        <x:f>AO10</x:f>
        <x:v>26300</x:v>
      </x:c>
      <x:c r="AQ6" s="40" t="n">
        <x:f>AP10</x:f>
        <x:v>26300</x:v>
      </x:c>
      <x:c r="AR6" s="40" t="n">
        <x:f>AQ10</x:f>
        <x:v>26300</x:v>
      </x:c>
      <x:c r="AS6" s="40" t="n">
        <x:f>AR10</x:f>
        <x:v>26300</x:v>
      </x:c>
      <x:c r="AT6" s="40" t="n">
        <x:f>AS10</x:f>
        <x:v>26300</x:v>
      </x:c>
      <x:c r="AU6" s="40" t="n">
        <x:f>AT10</x:f>
        <x:v>26300</x:v>
      </x:c>
      <x:c r="AV6" s="40" t="n">
        <x:f>AU10</x:f>
        <x:v>26300</x:v>
      </x:c>
      <x:c r="AW6" s="40" t="n">
        <x:f>AV10</x:f>
        <x:v>26300</x:v>
      </x:c>
      <x:c r="AX6" s="40" t="n">
        <x:f>AW10</x:f>
        <x:v>26300</x:v>
      </x:c>
      <x:c r="AY6" s="40" t="n">
        <x:f>AX10</x:f>
        <x:v>26300</x:v>
      </x:c>
      <x:c r="AZ6" s="40" t="n">
        <x:f>AY10</x:f>
        <x:v>26300</x:v>
      </x:c>
      <x:c r="BA6" s="40" t="n">
        <x:f>AZ10</x:f>
        <x:v>26300</x:v>
      </x:c>
      <x:c r="BB6" s="40" t="n">
        <x:f>BA10</x:f>
        <x:v>26300</x:v>
      </x:c>
      <x:c r="BC6" s="40" t="n">
        <x:f>BB10</x:f>
        <x:v>26300</x:v>
      </x:c>
      <x:c r="BD6" s="40" t="n">
        <x:f>BC10</x:f>
        <x:v>26300</x:v>
      </x:c>
      <x:c r="BE6" s="40" t="n">
        <x:f>BD10</x:f>
        <x:v>26300</x:v>
      </x:c>
      <x:c r="BF6" s="40" t="n">
        <x:f>BE10</x:f>
        <x:v>26300</x:v>
      </x:c>
      <x:c r="BG6" s="40" t="n">
        <x:f>BF10</x:f>
        <x:v>26300</x:v>
      </x:c>
      <x:c r="BH6" s="40" t="n">
        <x:f>BG10</x:f>
        <x:v>26300</x:v>
      </x:c>
      <x:c r="BI6" s="40" t="n">
        <x:f>BH10</x:f>
        <x:v>26300</x:v>
      </x:c>
      <x:c r="BJ6" s="40" t="n">
        <x:f>BI10</x:f>
        <x:v>26300</x:v>
      </x:c>
    </x:row>
    <x:row r="7">
      <x:c r="A7" s="12" t="str">
        <x:v>借入</x:v>
      </x:c>
      <x:c r="B7" s="12" t="str">
        <x:v>新規借入</x:v>
      </x:c>
      <x:c r="C7" s="40" t="n">
        <x:f>'01_入力ページ'!C58</x:f>
        <x:v>0</x:v>
      </x:c>
      <x:c r="D7" s="40" t="n">
        <x:f>'01_入力ページ'!D58</x:f>
        <x:v>0</x:v>
      </x:c>
      <x:c r="E7" s="40" t="n">
        <x:f>'01_入力ページ'!E58</x:f>
        <x:v>0</x:v>
      </x:c>
      <x:c r="F7" s="40" t="n">
        <x:f>'01_入力ページ'!F58</x:f>
        <x:v>0</x:v>
      </x:c>
      <x:c r="G7" s="40" t="n">
        <x:f>'01_入力ページ'!G58</x:f>
        <x:v>0</x:v>
      </x:c>
      <x:c r="H7" s="40" t="n">
        <x:f>'01_入力ページ'!H58</x:f>
        <x:v>0</x:v>
      </x:c>
      <x:c r="I7" s="40" t="n">
        <x:f>'01_入力ページ'!I58</x:f>
        <x:v>0</x:v>
      </x:c>
      <x:c r="J7" s="40" t="n">
        <x:f>'01_入力ページ'!J58</x:f>
        <x:v>0</x:v>
      </x:c>
      <x:c r="K7" s="40" t="n">
        <x:f>'01_入力ページ'!K58</x:f>
        <x:v>0</x:v>
      </x:c>
      <x:c r="L7" s="40" t="n">
        <x:f>'01_入力ページ'!L58</x:f>
        <x:v>0</x:v>
      </x:c>
      <x:c r="M7" s="40" t="n">
        <x:f>'01_入力ページ'!M58</x:f>
        <x:v>0</x:v>
      </x:c>
      <x:c r="N7" s="40" t="n">
        <x:f>'01_入力ページ'!N58</x:f>
        <x:v>0</x:v>
      </x:c>
      <x:c r="O7" s="40" t="n">
        <x:f>'01_入力ページ'!O58</x:f>
        <x:v>0</x:v>
      </x:c>
      <x:c r="P7" s="40" t="n">
        <x:f>'01_入力ページ'!P58</x:f>
        <x:v>0</x:v>
      </x:c>
      <x:c r="Q7" s="40" t="n">
        <x:f>'01_入力ページ'!Q58</x:f>
        <x:v>0</x:v>
      </x:c>
      <x:c r="R7" s="40" t="n">
        <x:f>'01_入力ページ'!R58</x:f>
        <x:v>0</x:v>
      </x:c>
      <x:c r="S7" s="40" t="n">
        <x:f>'01_入力ページ'!S58</x:f>
        <x:v>0</x:v>
      </x:c>
      <x:c r="T7" s="40" t="n">
        <x:f>'01_入力ページ'!T58</x:f>
        <x:v>0</x:v>
      </x:c>
      <x:c r="U7" s="40" t="n">
        <x:f>'01_入力ページ'!U58</x:f>
        <x:v>0</x:v>
      </x:c>
      <x:c r="V7" s="40" t="n">
        <x:f>'01_入力ページ'!V58</x:f>
        <x:v>0</x:v>
      </x:c>
      <x:c r="W7" s="40" t="n">
        <x:f>'01_入力ページ'!W58</x:f>
        <x:v>0</x:v>
      </x:c>
      <x:c r="X7" s="40" t="n">
        <x:f>'01_入力ページ'!X58</x:f>
        <x:v>0</x:v>
      </x:c>
      <x:c r="Y7" s="40" t="n">
        <x:f>'01_入力ページ'!Y58</x:f>
        <x:v>0</x:v>
      </x:c>
      <x:c r="Z7" s="40" t="n">
        <x:f>'01_入力ページ'!Z58</x:f>
        <x:v>0</x:v>
      </x:c>
      <x:c r="AA7" s="40" t="n">
        <x:f>'01_入力ページ'!AA58</x:f>
        <x:v>0</x:v>
      </x:c>
      <x:c r="AB7" s="40" t="n">
        <x:f>'01_入力ページ'!AB58</x:f>
        <x:v>0</x:v>
      </x:c>
      <x:c r="AC7" s="40" t="n">
        <x:f>'01_入力ページ'!AC58</x:f>
        <x:v>0</x:v>
      </x:c>
      <x:c r="AD7" s="40" t="n">
        <x:f>'01_入力ページ'!AD58</x:f>
        <x:v>0</x:v>
      </x:c>
      <x:c r="AE7" s="40" t="n">
        <x:f>'01_入力ページ'!AE58</x:f>
        <x:v>0</x:v>
      </x:c>
      <x:c r="AF7" s="40" t="n">
        <x:f>'01_入力ページ'!AF58</x:f>
        <x:v>0</x:v>
      </x:c>
      <x:c r="AG7" s="40" t="n">
        <x:f>'01_入力ページ'!AG58</x:f>
        <x:v>0</x:v>
      </x:c>
      <x:c r="AH7" s="40" t="n">
        <x:f>'01_入力ページ'!AH58</x:f>
        <x:v>0</x:v>
      </x:c>
      <x:c r="AI7" s="40" t="n">
        <x:f>'01_入力ページ'!AI58</x:f>
        <x:v>0</x:v>
      </x:c>
      <x:c r="AJ7" s="40" t="n">
        <x:f>'01_入力ページ'!AJ58</x:f>
        <x:v>0</x:v>
      </x:c>
      <x:c r="AK7" s="40" t="n">
        <x:f>'01_入力ページ'!AK58</x:f>
        <x:v>0</x:v>
      </x:c>
      <x:c r="AL7" s="40" t="n">
        <x:f>'01_入力ページ'!AL58</x:f>
        <x:v>0</x:v>
      </x:c>
      <x:c r="AM7" s="40" t="n">
        <x:f>'01_入力ページ'!AM58</x:f>
        <x:v>0</x:v>
      </x:c>
      <x:c r="AN7" s="40" t="n">
        <x:f>'01_入力ページ'!AN58</x:f>
        <x:v>0</x:v>
      </x:c>
      <x:c r="AO7" s="40" t="n">
        <x:f>'01_入力ページ'!AO58</x:f>
        <x:v>0</x:v>
      </x:c>
      <x:c r="AP7" s="40" t="n">
        <x:f>'01_入力ページ'!AP58</x:f>
        <x:v>0</x:v>
      </x:c>
      <x:c r="AQ7" s="40" t="n">
        <x:f>'01_入力ページ'!AQ58</x:f>
        <x:v>0</x:v>
      </x:c>
      <x:c r="AR7" s="40" t="n">
        <x:f>'01_入力ページ'!AR58</x:f>
        <x:v>0</x:v>
      </x:c>
      <x:c r="AS7" s="40" t="n">
        <x:f>'01_入力ページ'!AS58</x:f>
        <x:v>0</x:v>
      </x:c>
      <x:c r="AT7" s="40" t="n">
        <x:f>'01_入力ページ'!AT58</x:f>
        <x:v>0</x:v>
      </x:c>
      <x:c r="AU7" s="40" t="n">
        <x:f>'01_入力ページ'!AU58</x:f>
        <x:v>0</x:v>
      </x:c>
      <x:c r="AV7" s="40" t="n">
        <x:f>'01_入力ページ'!AV58</x:f>
        <x:v>0</x:v>
      </x:c>
      <x:c r="AW7" s="40" t="n">
        <x:f>'01_入力ページ'!AW58</x:f>
        <x:v>0</x:v>
      </x:c>
      <x:c r="AX7" s="40" t="n">
        <x:f>'01_入力ページ'!AX58</x:f>
        <x:v>0</x:v>
      </x:c>
      <x:c r="AY7" s="40" t="n">
        <x:f>'01_入力ページ'!AY58</x:f>
        <x:v>0</x:v>
      </x:c>
      <x:c r="AZ7" s="40" t="n">
        <x:f>'01_入力ページ'!AZ58</x:f>
        <x:v>0</x:v>
      </x:c>
      <x:c r="BA7" s="40" t="n">
        <x:f>'01_入力ページ'!BA58</x:f>
        <x:v>0</x:v>
      </x:c>
      <x:c r="BB7" s="40" t="n">
        <x:f>'01_入力ページ'!BB58</x:f>
        <x:v>0</x:v>
      </x:c>
      <x:c r="BC7" s="40" t="n">
        <x:f>'01_入力ページ'!BC58</x:f>
        <x:v>0</x:v>
      </x:c>
      <x:c r="BD7" s="40" t="n">
        <x:f>'01_入力ページ'!BD58</x:f>
        <x:v>0</x:v>
      </x:c>
      <x:c r="BE7" s="40" t="n">
        <x:f>'01_入力ページ'!BE58</x:f>
        <x:v>0</x:v>
      </x:c>
      <x:c r="BF7" s="40" t="n">
        <x:f>'01_入力ページ'!BF58</x:f>
        <x:v>0</x:v>
      </x:c>
      <x:c r="BG7" s="40" t="n">
        <x:f>'01_入力ページ'!BG58</x:f>
        <x:v>0</x:v>
      </x:c>
      <x:c r="BH7" s="40" t="n">
        <x:f>'01_入力ページ'!BH58</x:f>
        <x:v>0</x:v>
      </x:c>
      <x:c r="BI7" s="40" t="n">
        <x:f>'01_入力ページ'!BI58</x:f>
        <x:v>0</x:v>
      </x:c>
      <x:c r="BJ7" s="40" t="n">
        <x:f>'01_入力ページ'!BJ58</x:f>
        <x:v>0</x:v>
      </x:c>
    </x:row>
    <x:row r="8">
      <x:c r="A8" s="12" t="str">
        <x:v>借入</x:v>
      </x:c>
      <x:c r="B8" s="12" t="str">
        <x:v>約定元本返済</x:v>
      </x:c>
      <x:c r="C8" s="40" t="n">
        <x:f>'01_入力ページ'!C59</x:f>
        <x:v>0</x:v>
      </x:c>
      <x:c r="D8" s="40" t="n">
        <x:f>'01_入力ページ'!D59</x:f>
        <x:v>0</x:v>
      </x:c>
      <x:c r="E8" s="40" t="n">
        <x:f>'01_入力ページ'!E59</x:f>
        <x:v>0</x:v>
      </x:c>
      <x:c r="F8" s="40" t="n">
        <x:f>'01_入力ページ'!F59</x:f>
        <x:v>0</x:v>
      </x:c>
      <x:c r="G8" s="40" t="n">
        <x:f>'01_入力ページ'!G59</x:f>
        <x:v>0</x:v>
      </x:c>
      <x:c r="H8" s="40" t="n">
        <x:f>'01_入力ページ'!H59</x:f>
        <x:v>0</x:v>
      </x:c>
      <x:c r="I8" s="40" t="n">
        <x:f>'01_入力ページ'!I59</x:f>
        <x:v>0</x:v>
      </x:c>
      <x:c r="J8" s="40" t="n">
        <x:f>'01_入力ページ'!J59</x:f>
        <x:v>0</x:v>
      </x:c>
      <x:c r="K8" s="40" t="n">
        <x:f>'01_入力ページ'!K59</x:f>
        <x:v>0</x:v>
      </x:c>
      <x:c r="L8" s="40" t="n">
        <x:f>'01_入力ページ'!L59</x:f>
        <x:v>0</x:v>
      </x:c>
      <x:c r="M8" s="40" t="n">
        <x:f>'01_入力ページ'!M59</x:f>
        <x:v>0</x:v>
      </x:c>
      <x:c r="N8" s="40" t="n">
        <x:f>'01_入力ページ'!N59</x:f>
        <x:v>0</x:v>
      </x:c>
      <x:c r="O8" s="40" t="n">
        <x:f>'01_入力ページ'!O59</x:f>
        <x:v>0</x:v>
      </x:c>
      <x:c r="P8" s="40" t="n">
        <x:f>'01_入力ページ'!P59</x:f>
        <x:v>0</x:v>
      </x:c>
      <x:c r="Q8" s="40" t="n">
        <x:f>'01_入力ページ'!Q59</x:f>
        <x:v>0</x:v>
      </x:c>
      <x:c r="R8" s="40" t="n">
        <x:f>'01_入力ページ'!R59</x:f>
        <x:v>0</x:v>
      </x:c>
      <x:c r="S8" s="40" t="n">
        <x:f>'01_入力ページ'!S59</x:f>
        <x:v>0</x:v>
      </x:c>
      <x:c r="T8" s="40" t="n">
        <x:f>'01_入力ページ'!T59</x:f>
        <x:v>0</x:v>
      </x:c>
      <x:c r="U8" s="40" t="n">
        <x:f>'01_入力ページ'!U59</x:f>
        <x:v>0</x:v>
      </x:c>
      <x:c r="V8" s="40" t="n">
        <x:f>'01_入力ページ'!V59</x:f>
        <x:v>0</x:v>
      </x:c>
      <x:c r="W8" s="40" t="n">
        <x:f>'01_入力ページ'!W59</x:f>
        <x:v>0</x:v>
      </x:c>
      <x:c r="X8" s="40" t="n">
        <x:f>'01_入力ページ'!X59</x:f>
        <x:v>0</x:v>
      </x:c>
      <x:c r="Y8" s="40" t="n">
        <x:f>'01_入力ページ'!Y59</x:f>
        <x:v>0</x:v>
      </x:c>
      <x:c r="Z8" s="40" t="n">
        <x:f>'01_入力ページ'!Z59</x:f>
        <x:v>0</x:v>
      </x:c>
      <x:c r="AA8" s="40" t="n">
        <x:f>'01_入力ページ'!AA59</x:f>
        <x:v>0</x:v>
      </x:c>
      <x:c r="AB8" s="40" t="n">
        <x:f>'01_入力ページ'!AB59</x:f>
        <x:v>0</x:v>
      </x:c>
      <x:c r="AC8" s="40" t="n">
        <x:f>'01_入力ページ'!AC59</x:f>
        <x:v>0</x:v>
      </x:c>
      <x:c r="AD8" s="40" t="n">
        <x:f>'01_入力ページ'!AD59</x:f>
        <x:v>0</x:v>
      </x:c>
      <x:c r="AE8" s="40" t="n">
        <x:f>'01_入力ページ'!AE59</x:f>
        <x:v>0</x:v>
      </x:c>
      <x:c r="AF8" s="40" t="n">
        <x:f>'01_入力ページ'!AF59</x:f>
        <x:v>0</x:v>
      </x:c>
      <x:c r="AG8" s="40" t="n">
        <x:f>'01_入力ページ'!AG59</x:f>
        <x:v>0</x:v>
      </x:c>
      <x:c r="AH8" s="40" t="n">
        <x:f>'01_入力ページ'!AH59</x:f>
        <x:v>0</x:v>
      </x:c>
      <x:c r="AI8" s="40" t="n">
        <x:f>'01_入力ページ'!AI59</x:f>
        <x:v>0</x:v>
      </x:c>
      <x:c r="AJ8" s="40" t="n">
        <x:f>'01_入力ページ'!AJ59</x:f>
        <x:v>0</x:v>
      </x:c>
      <x:c r="AK8" s="40" t="n">
        <x:f>'01_入力ページ'!AK59</x:f>
        <x:v>0</x:v>
      </x:c>
      <x:c r="AL8" s="40" t="n">
        <x:f>'01_入力ページ'!AL59</x:f>
        <x:v>0</x:v>
      </x:c>
      <x:c r="AM8" s="40" t="n">
        <x:f>'01_入力ページ'!AM59</x:f>
        <x:v>0</x:v>
      </x:c>
      <x:c r="AN8" s="40" t="n">
        <x:f>'01_入力ページ'!AN59</x:f>
        <x:v>0</x:v>
      </x:c>
      <x:c r="AO8" s="40" t="n">
        <x:f>'01_入力ページ'!AO59</x:f>
        <x:v>0</x:v>
      </x:c>
      <x:c r="AP8" s="40" t="n">
        <x:f>'01_入力ページ'!AP59</x:f>
        <x:v>0</x:v>
      </x:c>
      <x:c r="AQ8" s="40" t="n">
        <x:f>'01_入力ページ'!AQ59</x:f>
        <x:v>0</x:v>
      </x:c>
      <x:c r="AR8" s="40" t="n">
        <x:f>'01_入力ページ'!AR59</x:f>
        <x:v>0</x:v>
      </x:c>
      <x:c r="AS8" s="40" t="n">
        <x:f>'01_入力ページ'!AS59</x:f>
        <x:v>0</x:v>
      </x:c>
      <x:c r="AT8" s="40" t="n">
        <x:f>'01_入力ページ'!AT59</x:f>
        <x:v>0</x:v>
      </x:c>
      <x:c r="AU8" s="40" t="n">
        <x:f>'01_入力ページ'!AU59</x:f>
        <x:v>0</x:v>
      </x:c>
      <x:c r="AV8" s="40" t="n">
        <x:f>'01_入力ページ'!AV59</x:f>
        <x:v>0</x:v>
      </x:c>
      <x:c r="AW8" s="40" t="n">
        <x:f>'01_入力ページ'!AW59</x:f>
        <x:v>0</x:v>
      </x:c>
      <x:c r="AX8" s="40" t="n">
        <x:f>'01_入力ページ'!AX59</x:f>
        <x:v>0</x:v>
      </x:c>
      <x:c r="AY8" s="40" t="n">
        <x:f>'01_入力ページ'!AY59</x:f>
        <x:v>0</x:v>
      </x:c>
      <x:c r="AZ8" s="40" t="n">
        <x:f>'01_入力ページ'!AZ59</x:f>
        <x:v>0</x:v>
      </x:c>
      <x:c r="BA8" s="40" t="n">
        <x:f>'01_入力ページ'!BA59</x:f>
        <x:v>0</x:v>
      </x:c>
      <x:c r="BB8" s="40" t="n">
        <x:f>'01_入力ページ'!BB59</x:f>
        <x:v>0</x:v>
      </x:c>
      <x:c r="BC8" s="40" t="n">
        <x:f>'01_入力ページ'!BC59</x:f>
        <x:v>0</x:v>
      </x:c>
      <x:c r="BD8" s="40" t="n">
        <x:f>'01_入力ページ'!BD59</x:f>
        <x:v>0</x:v>
      </x:c>
      <x:c r="BE8" s="40" t="n">
        <x:f>'01_入力ページ'!BE59</x:f>
        <x:v>0</x:v>
      </x:c>
      <x:c r="BF8" s="40" t="n">
        <x:f>'01_入力ページ'!BF59</x:f>
        <x:v>0</x:v>
      </x:c>
      <x:c r="BG8" s="40" t="n">
        <x:f>'01_入力ページ'!BG59</x:f>
        <x:v>0</x:v>
      </x:c>
      <x:c r="BH8" s="40" t="n">
        <x:f>'01_入力ページ'!BH59</x:f>
        <x:v>0</x:v>
      </x:c>
      <x:c r="BI8" s="40" t="n">
        <x:f>'01_入力ページ'!BI59</x:f>
        <x:v>0</x:v>
      </x:c>
      <x:c r="BJ8" s="40" t="n">
        <x:f>'01_入力ページ'!BJ59</x:f>
        <x:v>0</x:v>
      </x:c>
    </x:row>
    <x:row r="9">
      <x:c r="A9" s="12" t="str">
        <x:v>借入</x:v>
      </x:c>
      <x:c r="B9" s="12" t="str">
        <x:v>繰上返済</x:v>
      </x:c>
      <x:c r="C9" s="40" t="n">
        <x:f>'01_入力ページ'!C60</x:f>
        <x:v>0</x:v>
      </x:c>
      <x:c r="D9" s="40" t="n">
        <x:f>'01_入力ページ'!D60</x:f>
        <x:v>0</x:v>
      </x:c>
      <x:c r="E9" s="40" t="n">
        <x:f>'01_入力ページ'!E60</x:f>
        <x:v>0</x:v>
      </x:c>
      <x:c r="F9" s="40" t="n">
        <x:f>'01_入力ページ'!F60</x:f>
        <x:v>0</x:v>
      </x:c>
      <x:c r="G9" s="40" t="n">
        <x:f>'01_入力ページ'!G60</x:f>
        <x:v>0</x:v>
      </x:c>
      <x:c r="H9" s="40" t="n">
        <x:f>'01_入力ページ'!H60</x:f>
        <x:v>0</x:v>
      </x:c>
      <x:c r="I9" s="40" t="n">
        <x:f>'01_入力ページ'!I60</x:f>
        <x:v>0</x:v>
      </x:c>
      <x:c r="J9" s="40" t="n">
        <x:f>'01_入力ページ'!J60</x:f>
        <x:v>0</x:v>
      </x:c>
      <x:c r="K9" s="40" t="n">
        <x:f>'01_入力ページ'!K60</x:f>
        <x:v>0</x:v>
      </x:c>
      <x:c r="L9" s="40" t="n">
        <x:f>'01_入力ページ'!L60</x:f>
        <x:v>0</x:v>
      </x:c>
      <x:c r="M9" s="40" t="n">
        <x:f>'01_入力ページ'!M60</x:f>
        <x:v>0</x:v>
      </x:c>
      <x:c r="N9" s="40" t="n">
        <x:f>'01_入力ページ'!N60</x:f>
        <x:v>0</x:v>
      </x:c>
      <x:c r="O9" s="40" t="n">
        <x:f>'01_入力ページ'!O60</x:f>
        <x:v>0</x:v>
      </x:c>
      <x:c r="P9" s="40" t="n">
        <x:f>'01_入力ページ'!P60</x:f>
        <x:v>0</x:v>
      </x:c>
      <x:c r="Q9" s="40" t="n">
        <x:f>'01_入力ページ'!Q60</x:f>
        <x:v>0</x:v>
      </x:c>
      <x:c r="R9" s="40" t="n">
        <x:f>'01_入力ページ'!R60</x:f>
        <x:v>0</x:v>
      </x:c>
      <x:c r="S9" s="40" t="n">
        <x:f>'01_入力ページ'!S60</x:f>
        <x:v>0</x:v>
      </x:c>
      <x:c r="T9" s="40" t="n">
        <x:f>'01_入力ページ'!T60</x:f>
        <x:v>0</x:v>
      </x:c>
      <x:c r="U9" s="40" t="n">
        <x:f>'01_入力ページ'!U60</x:f>
        <x:v>0</x:v>
      </x:c>
      <x:c r="V9" s="40" t="n">
        <x:f>'01_入力ページ'!V60</x:f>
        <x:v>0</x:v>
      </x:c>
      <x:c r="W9" s="40" t="n">
        <x:f>'01_入力ページ'!W60</x:f>
        <x:v>0</x:v>
      </x:c>
      <x:c r="X9" s="40" t="n">
        <x:f>'01_入力ページ'!X60</x:f>
        <x:v>0</x:v>
      </x:c>
      <x:c r="Y9" s="40" t="n">
        <x:f>'01_入力ページ'!Y60</x:f>
        <x:v>0</x:v>
      </x:c>
      <x:c r="Z9" s="40" t="n">
        <x:f>'01_入力ページ'!Z60</x:f>
        <x:v>0</x:v>
      </x:c>
      <x:c r="AA9" s="40" t="n">
        <x:f>'01_入力ページ'!AA60</x:f>
        <x:v>0</x:v>
      </x:c>
      <x:c r="AB9" s="40" t="n">
        <x:f>'01_入力ページ'!AB60</x:f>
        <x:v>0</x:v>
      </x:c>
      <x:c r="AC9" s="40" t="n">
        <x:f>'01_入力ページ'!AC60</x:f>
        <x:v>0</x:v>
      </x:c>
      <x:c r="AD9" s="40" t="n">
        <x:f>'01_入力ページ'!AD60</x:f>
        <x:v>0</x:v>
      </x:c>
      <x:c r="AE9" s="40" t="n">
        <x:f>'01_入力ページ'!AE60</x:f>
        <x:v>0</x:v>
      </x:c>
      <x:c r="AF9" s="40" t="n">
        <x:f>'01_入力ページ'!AF60</x:f>
        <x:v>0</x:v>
      </x:c>
      <x:c r="AG9" s="40" t="n">
        <x:f>'01_入力ページ'!AG60</x:f>
        <x:v>0</x:v>
      </x:c>
      <x:c r="AH9" s="40" t="n">
        <x:f>'01_入力ページ'!AH60</x:f>
        <x:v>0</x:v>
      </x:c>
      <x:c r="AI9" s="40" t="n">
        <x:f>'01_入力ページ'!AI60</x:f>
        <x:v>0</x:v>
      </x:c>
      <x:c r="AJ9" s="40" t="n">
        <x:f>'01_入力ページ'!AJ60</x:f>
        <x:v>0</x:v>
      </x:c>
      <x:c r="AK9" s="40" t="n">
        <x:f>'01_入力ページ'!AK60</x:f>
        <x:v>0</x:v>
      </x:c>
      <x:c r="AL9" s="40" t="n">
        <x:f>'01_入力ページ'!AL60</x:f>
        <x:v>0</x:v>
      </x:c>
      <x:c r="AM9" s="40" t="n">
        <x:f>'01_入力ページ'!AM60</x:f>
        <x:v>0</x:v>
      </x:c>
      <x:c r="AN9" s="40" t="n">
        <x:f>'01_入力ページ'!AN60</x:f>
        <x:v>0</x:v>
      </x:c>
      <x:c r="AO9" s="40" t="n">
        <x:f>'01_入力ページ'!AO60</x:f>
        <x:v>0</x:v>
      </x:c>
      <x:c r="AP9" s="40" t="n">
        <x:f>'01_入力ページ'!AP60</x:f>
        <x:v>0</x:v>
      </x:c>
      <x:c r="AQ9" s="40" t="n">
        <x:f>'01_入力ページ'!AQ60</x:f>
        <x:v>0</x:v>
      </x:c>
      <x:c r="AR9" s="40" t="n">
        <x:f>'01_入力ページ'!AR60</x:f>
        <x:v>0</x:v>
      </x:c>
      <x:c r="AS9" s="40" t="n">
        <x:f>'01_入力ページ'!AS60</x:f>
        <x:v>0</x:v>
      </x:c>
      <x:c r="AT9" s="40" t="n">
        <x:f>'01_入力ページ'!AT60</x:f>
        <x:v>0</x:v>
      </x:c>
      <x:c r="AU9" s="40" t="n">
        <x:f>'01_入力ページ'!AU60</x:f>
        <x:v>0</x:v>
      </x:c>
      <x:c r="AV9" s="40" t="n">
        <x:f>'01_入力ページ'!AV60</x:f>
        <x:v>0</x:v>
      </x:c>
      <x:c r="AW9" s="40" t="n">
        <x:f>'01_入力ページ'!AW60</x:f>
        <x:v>0</x:v>
      </x:c>
      <x:c r="AX9" s="40" t="n">
        <x:f>'01_入力ページ'!AX60</x:f>
        <x:v>0</x:v>
      </x:c>
      <x:c r="AY9" s="40" t="n">
        <x:f>'01_入力ページ'!AY60</x:f>
        <x:v>0</x:v>
      </x:c>
      <x:c r="AZ9" s="40" t="n">
        <x:f>'01_入力ページ'!AZ60</x:f>
        <x:v>0</x:v>
      </x:c>
      <x:c r="BA9" s="40" t="n">
        <x:f>'01_入力ページ'!BA60</x:f>
        <x:v>0</x:v>
      </x:c>
      <x:c r="BB9" s="40" t="n">
        <x:f>'01_入力ページ'!BB60</x:f>
        <x:v>0</x:v>
      </x:c>
      <x:c r="BC9" s="40" t="n">
        <x:f>'01_入力ページ'!BC60</x:f>
        <x:v>0</x:v>
      </x:c>
      <x:c r="BD9" s="40" t="n">
        <x:f>'01_入力ページ'!BD60</x:f>
        <x:v>0</x:v>
      </x:c>
      <x:c r="BE9" s="40" t="n">
        <x:f>'01_入力ページ'!BE60</x:f>
        <x:v>0</x:v>
      </x:c>
      <x:c r="BF9" s="40" t="n">
        <x:f>'01_入力ページ'!BF60</x:f>
        <x:v>0</x:v>
      </x:c>
      <x:c r="BG9" s="40" t="n">
        <x:f>'01_入力ページ'!BG60</x:f>
        <x:v>0</x:v>
      </x:c>
      <x:c r="BH9" s="40" t="n">
        <x:f>'01_入力ページ'!BH60</x:f>
        <x:v>0</x:v>
      </x:c>
      <x:c r="BI9" s="40" t="n">
        <x:f>'01_入力ページ'!BI60</x:f>
        <x:v>0</x:v>
      </x:c>
      <x:c r="BJ9" s="40" t="n">
        <x:f>'01_入力ページ'!BJ60</x:f>
        <x:v>0</x:v>
      </x:c>
    </x:row>
    <x:row r="10">
      <x:c r="A10" s="12" t="str">
        <x:v>借入</x:v>
      </x:c>
      <x:c r="B10" s="12" t="str">
        <x:v>期末借入残高</x:v>
      </x:c>
      <x:c r="C10" s="40" t="n">
        <x:f>C6+C7-C8-C9</x:f>
        <x:v>26300</x:v>
      </x:c>
      <x:c r="D10" s="40" t="n">
        <x:f>D6+D7-D8-D9</x:f>
        <x:v>26300</x:v>
      </x:c>
      <x:c r="E10" s="40" t="n">
        <x:f>E6+E7-E8-E9</x:f>
        <x:v>26300</x:v>
      </x:c>
      <x:c r="F10" s="40" t="n">
        <x:f>F6+F7-F8-F9</x:f>
        <x:v>26300</x:v>
      </x:c>
      <x:c r="G10" s="40" t="n">
        <x:f>G6+G7-G8-G9</x:f>
        <x:v>26300</x:v>
      </x:c>
      <x:c r="H10" s="40" t="n">
        <x:f>H6+H7-H8-H9</x:f>
        <x:v>26300</x:v>
      </x:c>
      <x:c r="I10" s="40" t="n">
        <x:f>I6+I7-I8-I9</x:f>
        <x:v>26300</x:v>
      </x:c>
      <x:c r="J10" s="40" t="n">
        <x:f>J6+J7-J8-J9</x:f>
        <x:v>26300</x:v>
      </x:c>
      <x:c r="K10" s="40" t="n">
        <x:f>K6+K7-K8-K9</x:f>
        <x:v>26300</x:v>
      </x:c>
      <x:c r="L10" s="40" t="n">
        <x:f>L6+L7-L8-L9</x:f>
        <x:v>26300</x:v>
      </x:c>
      <x:c r="M10" s="40" t="n">
        <x:f>M6+M7-M8-M9</x:f>
        <x:v>26300</x:v>
      </x:c>
      <x:c r="N10" s="40" t="n">
        <x:f>N6+N7-N8-N9</x:f>
        <x:v>26300</x:v>
      </x:c>
      <x:c r="O10" s="40" t="n">
        <x:f>O6+O7-O8-O9</x:f>
        <x:v>26300</x:v>
      </x:c>
      <x:c r="P10" s="40" t="n">
        <x:f>P6+P7-P8-P9</x:f>
        <x:v>26300</x:v>
      </x:c>
      <x:c r="Q10" s="40" t="n">
        <x:f>Q6+Q7-Q8-Q9</x:f>
        <x:v>26300</x:v>
      </x:c>
      <x:c r="R10" s="40" t="n">
        <x:f>R6+R7-R8-R9</x:f>
        <x:v>26300</x:v>
      </x:c>
      <x:c r="S10" s="40" t="n">
        <x:f>S6+S7-S8-S9</x:f>
        <x:v>26300</x:v>
      </x:c>
      <x:c r="T10" s="40" t="n">
        <x:f>T6+T7-T8-T9</x:f>
        <x:v>26300</x:v>
      </x:c>
      <x:c r="U10" s="40" t="n">
        <x:f>U6+U7-U8-U9</x:f>
        <x:v>26300</x:v>
      </x:c>
      <x:c r="V10" s="40" t="n">
        <x:f>V6+V7-V8-V9</x:f>
        <x:v>26300</x:v>
      </x:c>
      <x:c r="W10" s="40" t="n">
        <x:f>W6+W7-W8-W9</x:f>
        <x:v>26300</x:v>
      </x:c>
      <x:c r="X10" s="40" t="n">
        <x:f>X6+X7-X8-X9</x:f>
        <x:v>26300</x:v>
      </x:c>
      <x:c r="Y10" s="40" t="n">
        <x:f>Y6+Y7-Y8-Y9</x:f>
        <x:v>26300</x:v>
      </x:c>
      <x:c r="Z10" s="40" t="n">
        <x:f>Z6+Z7-Z8-Z9</x:f>
        <x:v>26300</x:v>
      </x:c>
      <x:c r="AA10" s="40" t="n">
        <x:f>AA6+AA7-AA8-AA9</x:f>
        <x:v>26300</x:v>
      </x:c>
      <x:c r="AB10" s="40" t="n">
        <x:f>AB6+AB7-AB8-AB9</x:f>
        <x:v>26300</x:v>
      </x:c>
      <x:c r="AC10" s="40" t="n">
        <x:f>AC6+AC7-AC8-AC9</x:f>
        <x:v>26300</x:v>
      </x:c>
      <x:c r="AD10" s="40" t="n">
        <x:f>AD6+AD7-AD8-AD9</x:f>
        <x:v>26300</x:v>
      </x:c>
      <x:c r="AE10" s="40" t="n">
        <x:f>AE6+AE7-AE8-AE9</x:f>
        <x:v>26300</x:v>
      </x:c>
      <x:c r="AF10" s="40" t="n">
        <x:f>AF6+AF7-AF8-AF9</x:f>
        <x:v>26300</x:v>
      </x:c>
      <x:c r="AG10" s="40" t="n">
        <x:f>AG6+AG7-AG8-AG9</x:f>
        <x:v>26300</x:v>
      </x:c>
      <x:c r="AH10" s="40" t="n">
        <x:f>AH6+AH7-AH8-AH9</x:f>
        <x:v>26300</x:v>
      </x:c>
      <x:c r="AI10" s="40" t="n">
        <x:f>AI6+AI7-AI8-AI9</x:f>
        <x:v>26300</x:v>
      </x:c>
      <x:c r="AJ10" s="40" t="n">
        <x:f>AJ6+AJ7-AJ8-AJ9</x:f>
        <x:v>26300</x:v>
      </x:c>
      <x:c r="AK10" s="40" t="n">
        <x:f>AK6+AK7-AK8-AK9</x:f>
        <x:v>26300</x:v>
      </x:c>
      <x:c r="AL10" s="40" t="n">
        <x:f>AL6+AL7-AL8-AL9</x:f>
        <x:v>26300</x:v>
      </x:c>
      <x:c r="AM10" s="40" t="n">
        <x:f>AM6+AM7-AM8-AM9</x:f>
        <x:v>26300</x:v>
      </x:c>
      <x:c r="AN10" s="40" t="n">
        <x:f>AN6+AN7-AN8-AN9</x:f>
        <x:v>26300</x:v>
      </x:c>
      <x:c r="AO10" s="40" t="n">
        <x:f>AO6+AO7-AO8-AO9</x:f>
        <x:v>26300</x:v>
      </x:c>
      <x:c r="AP10" s="40" t="n">
        <x:f>AP6+AP7-AP8-AP9</x:f>
        <x:v>26300</x:v>
      </x:c>
      <x:c r="AQ10" s="40" t="n">
        <x:f>AQ6+AQ7-AQ8-AQ9</x:f>
        <x:v>26300</x:v>
      </x:c>
      <x:c r="AR10" s="40" t="n">
        <x:f>AR6+AR7-AR8-AR9</x:f>
        <x:v>26300</x:v>
      </x:c>
      <x:c r="AS10" s="40" t="n">
        <x:f>AS6+AS7-AS8-AS9</x:f>
        <x:v>26300</x:v>
      </x:c>
      <x:c r="AT10" s="40" t="n">
        <x:f>AT6+AT7-AT8-AT9</x:f>
        <x:v>26300</x:v>
      </x:c>
      <x:c r="AU10" s="40" t="n">
        <x:f>AU6+AU7-AU8-AU9</x:f>
        <x:v>26300</x:v>
      </x:c>
      <x:c r="AV10" s="40" t="n">
        <x:f>AV6+AV7-AV8-AV9</x:f>
        <x:v>26300</x:v>
      </x:c>
      <x:c r="AW10" s="40" t="n">
        <x:f>AW6+AW7-AW8-AW9</x:f>
        <x:v>26300</x:v>
      </x:c>
      <x:c r="AX10" s="40" t="n">
        <x:f>AX6+AX7-AX8-AX9</x:f>
        <x:v>26300</x:v>
      </x:c>
      <x:c r="AY10" s="40" t="n">
        <x:f>AY6+AY7-AY8-AY9</x:f>
        <x:v>26300</x:v>
      </x:c>
      <x:c r="AZ10" s="40" t="n">
        <x:f>AZ6+AZ7-AZ8-AZ9</x:f>
        <x:v>26300</x:v>
      </x:c>
      <x:c r="BA10" s="40" t="n">
        <x:f>BA6+BA7-BA8-BA9</x:f>
        <x:v>26300</x:v>
      </x:c>
      <x:c r="BB10" s="40" t="n">
        <x:f>BB6+BB7-BB8-BB9</x:f>
        <x:v>26300</x:v>
      </x:c>
      <x:c r="BC10" s="40" t="n">
        <x:f>BC6+BC7-BC8-BC9</x:f>
        <x:v>26300</x:v>
      </x:c>
      <x:c r="BD10" s="40" t="n">
        <x:f>BD6+BD7-BD8-BD9</x:f>
        <x:v>26300</x:v>
      </x:c>
      <x:c r="BE10" s="40" t="n">
        <x:f>BE6+BE7-BE8-BE9</x:f>
        <x:v>26300</x:v>
      </x:c>
      <x:c r="BF10" s="40" t="n">
        <x:f>BF6+BF7-BF8-BF9</x:f>
        <x:v>26300</x:v>
      </x:c>
      <x:c r="BG10" s="40" t="n">
        <x:f>BG6+BG7-BG8-BG9</x:f>
        <x:v>26300</x:v>
      </x:c>
      <x:c r="BH10" s="40" t="n">
        <x:f>BH6+BH7-BH8-BH9</x:f>
        <x:v>26300</x:v>
      </x:c>
      <x:c r="BI10" s="40" t="n">
        <x:f>BI6+BI7-BI8-BI9</x:f>
        <x:v>26300</x:v>
      </x:c>
      <x:c r="BJ10" s="40" t="n">
        <x:f>BJ6+BJ7-BJ8-BJ9</x:f>
        <x:v>26300</x:v>
      </x:c>
    </x:row>
    <x:row r="11">
      <x:c r="A11" s="12" t="str">
        <x:v>金利</x:v>
      </x:c>
      <x:c r="B11" s="12" t="str">
        <x:v>年利</x:v>
      </x:c>
      <x:c r="C11" s="41" t="n">
        <x:f>'01_入力ページ'!C61</x:f>
        <x:v>0.02</x:v>
      </x:c>
      <x:c r="D11" s="41" t="n">
        <x:f>'01_入力ページ'!D61</x:f>
        <x:v>0.02</x:v>
      </x:c>
      <x:c r="E11" s="41" t="n">
        <x:f>'01_入力ページ'!E61</x:f>
        <x:v>0.02</x:v>
      </x:c>
      <x:c r="F11" s="41" t="n">
        <x:f>'01_入力ページ'!F61</x:f>
        <x:v>0.02</x:v>
      </x:c>
      <x:c r="G11" s="41" t="n">
        <x:f>'01_入力ページ'!G61</x:f>
        <x:v>0.02</x:v>
      </x:c>
      <x:c r="H11" s="41" t="n">
        <x:f>'01_入力ページ'!H61</x:f>
        <x:v>0.02</x:v>
      </x:c>
      <x:c r="I11" s="41" t="n">
        <x:f>'01_入力ページ'!I61</x:f>
        <x:v>0.02</x:v>
      </x:c>
      <x:c r="J11" s="41" t="n">
        <x:f>'01_入力ページ'!J61</x:f>
        <x:v>0.02</x:v>
      </x:c>
      <x:c r="K11" s="41" t="n">
        <x:f>'01_入力ページ'!K61</x:f>
        <x:v>0.02</x:v>
      </x:c>
      <x:c r="L11" s="41" t="n">
        <x:f>'01_入力ページ'!L61</x:f>
        <x:v>0.02</x:v>
      </x:c>
      <x:c r="M11" s="41" t="n">
        <x:f>'01_入力ページ'!M61</x:f>
        <x:v>0.02</x:v>
      </x:c>
      <x:c r="N11" s="41" t="n">
        <x:f>'01_入力ページ'!N61</x:f>
        <x:v>0.02</x:v>
      </x:c>
      <x:c r="O11" s="41" t="n">
        <x:f>'01_入力ページ'!O61</x:f>
        <x:v>0.02</x:v>
      </x:c>
      <x:c r="P11" s="41" t="n">
        <x:f>'01_入力ページ'!P61</x:f>
        <x:v>0.02</x:v>
      </x:c>
      <x:c r="Q11" s="41" t="n">
        <x:f>'01_入力ページ'!Q61</x:f>
        <x:v>0.02</x:v>
      </x:c>
      <x:c r="R11" s="41" t="n">
        <x:f>'01_入力ページ'!R61</x:f>
        <x:v>0.02</x:v>
      </x:c>
      <x:c r="S11" s="41" t="n">
        <x:f>'01_入力ページ'!S61</x:f>
        <x:v>0.02</x:v>
      </x:c>
      <x:c r="T11" s="41" t="n">
        <x:f>'01_入力ページ'!T61</x:f>
        <x:v>0.02</x:v>
      </x:c>
      <x:c r="U11" s="41" t="n">
        <x:f>'01_入力ページ'!U61</x:f>
        <x:v>0.02</x:v>
      </x:c>
      <x:c r="V11" s="41" t="n">
        <x:f>'01_入力ページ'!V61</x:f>
        <x:v>0.02</x:v>
      </x:c>
      <x:c r="W11" s="41" t="n">
        <x:f>'01_入力ページ'!W61</x:f>
        <x:v>0.02</x:v>
      </x:c>
      <x:c r="X11" s="41" t="n">
        <x:f>'01_入力ページ'!X61</x:f>
        <x:v>0.02</x:v>
      </x:c>
      <x:c r="Y11" s="41" t="n">
        <x:f>'01_入力ページ'!Y61</x:f>
        <x:v>0.02</x:v>
      </x:c>
      <x:c r="Z11" s="41" t="n">
        <x:f>'01_入力ページ'!Z61</x:f>
        <x:v>0.02</x:v>
      </x:c>
      <x:c r="AA11" s="41" t="n">
        <x:f>'01_入力ページ'!AA61</x:f>
        <x:v>0.02</x:v>
      </x:c>
      <x:c r="AB11" s="41" t="n">
        <x:f>'01_入力ページ'!AB61</x:f>
        <x:v>0.02</x:v>
      </x:c>
      <x:c r="AC11" s="41" t="n">
        <x:f>'01_入力ページ'!AC61</x:f>
        <x:v>0.02</x:v>
      </x:c>
      <x:c r="AD11" s="41" t="n">
        <x:f>'01_入力ページ'!AD61</x:f>
        <x:v>0.02</x:v>
      </x:c>
      <x:c r="AE11" s="41" t="n">
        <x:f>'01_入力ページ'!AE61</x:f>
        <x:v>0.02</x:v>
      </x:c>
      <x:c r="AF11" s="41" t="n">
        <x:f>'01_入力ページ'!AF61</x:f>
        <x:v>0.02</x:v>
      </x:c>
      <x:c r="AG11" s="41" t="n">
        <x:f>'01_入力ページ'!AG61</x:f>
        <x:v>0.02</x:v>
      </x:c>
      <x:c r="AH11" s="41" t="n">
        <x:f>'01_入力ページ'!AH61</x:f>
        <x:v>0.02</x:v>
      </x:c>
      <x:c r="AI11" s="41" t="n">
        <x:f>'01_入力ページ'!AI61</x:f>
        <x:v>0.02</x:v>
      </x:c>
      <x:c r="AJ11" s="41" t="n">
        <x:f>'01_入力ページ'!AJ61</x:f>
        <x:v>0.02</x:v>
      </x:c>
      <x:c r="AK11" s="41" t="n">
        <x:f>'01_入力ページ'!AK61</x:f>
        <x:v>0.02</x:v>
      </x:c>
      <x:c r="AL11" s="41" t="n">
        <x:f>'01_入力ページ'!AL61</x:f>
        <x:v>0.02</x:v>
      </x:c>
      <x:c r="AM11" s="41" t="n">
        <x:f>'01_入力ページ'!AM61</x:f>
        <x:v>0.02</x:v>
      </x:c>
      <x:c r="AN11" s="41" t="n">
        <x:f>'01_入力ページ'!AN61</x:f>
        <x:v>0.02</x:v>
      </x:c>
      <x:c r="AO11" s="41" t="n">
        <x:f>'01_入力ページ'!AO61</x:f>
        <x:v>0.02</x:v>
      </x:c>
      <x:c r="AP11" s="41" t="n">
        <x:f>'01_入力ページ'!AP61</x:f>
        <x:v>0.02</x:v>
      </x:c>
      <x:c r="AQ11" s="41" t="n">
        <x:f>'01_入力ページ'!AQ61</x:f>
        <x:v>0.02</x:v>
      </x:c>
      <x:c r="AR11" s="41" t="n">
        <x:f>'01_入力ページ'!AR61</x:f>
        <x:v>0.02</x:v>
      </x:c>
      <x:c r="AS11" s="41" t="n">
        <x:f>'01_入力ページ'!AS61</x:f>
        <x:v>0.02</x:v>
      </x:c>
      <x:c r="AT11" s="41" t="n">
        <x:f>'01_入力ページ'!AT61</x:f>
        <x:v>0.02</x:v>
      </x:c>
      <x:c r="AU11" s="41" t="n">
        <x:f>'01_入力ページ'!AU61</x:f>
        <x:v>0.02</x:v>
      </x:c>
      <x:c r="AV11" s="41" t="n">
        <x:f>'01_入力ページ'!AV61</x:f>
        <x:v>0.02</x:v>
      </x:c>
      <x:c r="AW11" s="41" t="n">
        <x:f>'01_入力ページ'!AW61</x:f>
        <x:v>0.02</x:v>
      </x:c>
      <x:c r="AX11" s="41" t="n">
        <x:f>'01_入力ページ'!AX61</x:f>
        <x:v>0.02</x:v>
      </x:c>
      <x:c r="AY11" s="41" t="n">
        <x:f>'01_入力ページ'!AY61</x:f>
        <x:v>0.02</x:v>
      </x:c>
      <x:c r="AZ11" s="41" t="n">
        <x:f>'01_入力ページ'!AZ61</x:f>
        <x:v>0.02</x:v>
      </x:c>
      <x:c r="BA11" s="41" t="n">
        <x:f>'01_入力ページ'!BA61</x:f>
        <x:v>0.02</x:v>
      </x:c>
      <x:c r="BB11" s="41" t="n">
        <x:f>'01_入力ページ'!BB61</x:f>
        <x:v>0.02</x:v>
      </x:c>
      <x:c r="BC11" s="41" t="n">
        <x:f>'01_入力ページ'!BC61</x:f>
        <x:v>0.02</x:v>
      </x:c>
      <x:c r="BD11" s="41" t="n">
        <x:f>'01_入力ページ'!BD61</x:f>
        <x:v>0.02</x:v>
      </x:c>
      <x:c r="BE11" s="41" t="n">
        <x:f>'01_入力ページ'!BE61</x:f>
        <x:v>0.02</x:v>
      </x:c>
      <x:c r="BF11" s="41" t="n">
        <x:f>'01_入力ページ'!BF61</x:f>
        <x:v>0.02</x:v>
      </x:c>
      <x:c r="BG11" s="41" t="n">
        <x:f>'01_入力ページ'!BG61</x:f>
        <x:v>0.02</x:v>
      </x:c>
      <x:c r="BH11" s="41" t="n">
        <x:f>'01_入力ページ'!BH61</x:f>
        <x:v>0.02</x:v>
      </x:c>
      <x:c r="BI11" s="41" t="n">
        <x:f>'01_入力ページ'!BI61</x:f>
        <x:v>0.02</x:v>
      </x:c>
      <x:c r="BJ11" s="41" t="n">
        <x:f>'01_入力ページ'!BJ61</x:f>
        <x:v>0.02</x:v>
      </x:c>
    </x:row>
    <x:row r="12">
      <x:c r="A12" s="12" t="str">
        <x:v>金利</x:v>
      </x:c>
      <x:c r="B12" s="12" t="str">
        <x:v>支払利息</x:v>
      </x:c>
      <x:c r="C12" s="40" t="n">
        <x:f>AVERAGE(C6,C10)*C11/12</x:f>
        <x:v>43.833333333333336</x:v>
      </x:c>
      <x:c r="D12" s="40" t="n">
        <x:f>AVERAGE(D6,D10)*D11/12</x:f>
        <x:v>43.833333333333336</x:v>
      </x:c>
      <x:c r="E12" s="40" t="n">
        <x:f>AVERAGE(E6,E10)*E11/12</x:f>
        <x:v>43.833333333333336</x:v>
      </x:c>
      <x:c r="F12" s="40" t="n">
        <x:f>AVERAGE(F6,F10)*F11/12</x:f>
        <x:v>43.833333333333336</x:v>
      </x:c>
      <x:c r="G12" s="40" t="n">
        <x:f>AVERAGE(G6,G10)*G11/12</x:f>
        <x:v>43.833333333333336</x:v>
      </x:c>
      <x:c r="H12" s="40" t="n">
        <x:f>AVERAGE(H6,H10)*H11/12</x:f>
        <x:v>43.833333333333336</x:v>
      </x:c>
      <x:c r="I12" s="40" t="n">
        <x:f>AVERAGE(I6,I10)*I11/12</x:f>
        <x:v>43.833333333333336</x:v>
      </x:c>
      <x:c r="J12" s="40" t="n">
        <x:f>AVERAGE(J6,J10)*J11/12</x:f>
        <x:v>43.833333333333336</x:v>
      </x:c>
      <x:c r="K12" s="40" t="n">
        <x:f>AVERAGE(K6,K10)*K11/12</x:f>
        <x:v>43.833333333333336</x:v>
      </x:c>
      <x:c r="L12" s="40" t="n">
        <x:f>AVERAGE(L6,L10)*L11/12</x:f>
        <x:v>43.833333333333336</x:v>
      </x:c>
      <x:c r="M12" s="40" t="n">
        <x:f>AVERAGE(M6,M10)*M11/12</x:f>
        <x:v>43.833333333333336</x:v>
      </x:c>
      <x:c r="N12" s="40" t="n">
        <x:f>AVERAGE(N6,N10)*N11/12</x:f>
        <x:v>43.833333333333336</x:v>
      </x:c>
      <x:c r="O12" s="40" t="n">
        <x:f>AVERAGE(O6,O10)*O11/12</x:f>
        <x:v>43.833333333333336</x:v>
      </x:c>
      <x:c r="P12" s="40" t="n">
        <x:f>AVERAGE(P6,P10)*P11/12</x:f>
        <x:v>43.833333333333336</x:v>
      </x:c>
      <x:c r="Q12" s="40" t="n">
        <x:f>AVERAGE(Q6,Q10)*Q11/12</x:f>
        <x:v>43.833333333333336</x:v>
      </x:c>
      <x:c r="R12" s="40" t="n">
        <x:f>AVERAGE(R6,R10)*R11/12</x:f>
        <x:v>43.833333333333336</x:v>
      </x:c>
      <x:c r="S12" s="40" t="n">
        <x:f>AVERAGE(S6,S10)*S11/12</x:f>
        <x:v>43.833333333333336</x:v>
      </x:c>
      <x:c r="T12" s="40" t="n">
        <x:f>AVERAGE(T6,T10)*T11/12</x:f>
        <x:v>43.833333333333336</x:v>
      </x:c>
      <x:c r="U12" s="40" t="n">
        <x:f>AVERAGE(U6,U10)*U11/12</x:f>
        <x:v>43.833333333333336</x:v>
      </x:c>
      <x:c r="V12" s="40" t="n">
        <x:f>AVERAGE(V6,V10)*V11/12</x:f>
        <x:v>43.833333333333336</x:v>
      </x:c>
      <x:c r="W12" s="40" t="n">
        <x:f>AVERAGE(W6,W10)*W11/12</x:f>
        <x:v>43.833333333333336</x:v>
      </x:c>
      <x:c r="X12" s="40" t="n">
        <x:f>AVERAGE(X6,X10)*X11/12</x:f>
        <x:v>43.833333333333336</x:v>
      </x:c>
      <x:c r="Y12" s="40" t="n">
        <x:f>AVERAGE(Y6,Y10)*Y11/12</x:f>
        <x:v>43.833333333333336</x:v>
      </x:c>
      <x:c r="Z12" s="40" t="n">
        <x:f>AVERAGE(Z6,Z10)*Z11/12</x:f>
        <x:v>43.833333333333336</x:v>
      </x:c>
      <x:c r="AA12" s="40" t="n">
        <x:f>AVERAGE(AA6,AA10)*AA11/12</x:f>
        <x:v>43.833333333333336</x:v>
      </x:c>
      <x:c r="AB12" s="40" t="n">
        <x:f>AVERAGE(AB6,AB10)*AB11/12</x:f>
        <x:v>43.833333333333336</x:v>
      </x:c>
      <x:c r="AC12" s="40" t="n">
        <x:f>AVERAGE(AC6,AC10)*AC11/12</x:f>
        <x:v>43.833333333333336</x:v>
      </x:c>
      <x:c r="AD12" s="40" t="n">
        <x:f>AVERAGE(AD6,AD10)*AD11/12</x:f>
        <x:v>43.833333333333336</x:v>
      </x:c>
      <x:c r="AE12" s="40" t="n">
        <x:f>AVERAGE(AE6,AE10)*AE11/12</x:f>
        <x:v>43.833333333333336</x:v>
      </x:c>
      <x:c r="AF12" s="40" t="n">
        <x:f>AVERAGE(AF6,AF10)*AF11/12</x:f>
        <x:v>43.833333333333336</x:v>
      </x:c>
      <x:c r="AG12" s="40" t="n">
        <x:f>AVERAGE(AG6,AG10)*AG11/12</x:f>
        <x:v>43.833333333333336</x:v>
      </x:c>
      <x:c r="AH12" s="40" t="n">
        <x:f>AVERAGE(AH6,AH10)*AH11/12</x:f>
        <x:v>43.833333333333336</x:v>
      </x:c>
      <x:c r="AI12" s="40" t="n">
        <x:f>AVERAGE(AI6,AI10)*AI11/12</x:f>
        <x:v>43.833333333333336</x:v>
      </x:c>
      <x:c r="AJ12" s="40" t="n">
        <x:f>AVERAGE(AJ6,AJ10)*AJ11/12</x:f>
        <x:v>43.833333333333336</x:v>
      </x:c>
      <x:c r="AK12" s="40" t="n">
        <x:f>AVERAGE(AK6,AK10)*AK11/12</x:f>
        <x:v>43.833333333333336</x:v>
      </x:c>
      <x:c r="AL12" s="40" t="n">
        <x:f>AVERAGE(AL6,AL10)*AL11/12</x:f>
        <x:v>43.833333333333336</x:v>
      </x:c>
      <x:c r="AM12" s="40" t="n">
        <x:f>AVERAGE(AM6,AM10)*AM11/12</x:f>
        <x:v>43.833333333333336</x:v>
      </x:c>
      <x:c r="AN12" s="40" t="n">
        <x:f>AVERAGE(AN6,AN10)*AN11/12</x:f>
        <x:v>43.833333333333336</x:v>
      </x:c>
      <x:c r="AO12" s="40" t="n">
        <x:f>AVERAGE(AO6,AO10)*AO11/12</x:f>
        <x:v>43.833333333333336</x:v>
      </x:c>
      <x:c r="AP12" s="40" t="n">
        <x:f>AVERAGE(AP6,AP10)*AP11/12</x:f>
        <x:v>43.833333333333336</x:v>
      </x:c>
      <x:c r="AQ12" s="40" t="n">
        <x:f>AVERAGE(AQ6,AQ10)*AQ11/12</x:f>
        <x:v>43.833333333333336</x:v>
      </x:c>
      <x:c r="AR12" s="40" t="n">
        <x:f>AVERAGE(AR6,AR10)*AR11/12</x:f>
        <x:v>43.833333333333336</x:v>
      </x:c>
      <x:c r="AS12" s="40" t="n">
        <x:f>AVERAGE(AS6,AS10)*AS11/12</x:f>
        <x:v>43.833333333333336</x:v>
      </x:c>
      <x:c r="AT12" s="40" t="n">
        <x:f>AVERAGE(AT6,AT10)*AT11/12</x:f>
        <x:v>43.833333333333336</x:v>
      </x:c>
      <x:c r="AU12" s="40" t="n">
        <x:f>AVERAGE(AU6,AU10)*AU11/12</x:f>
        <x:v>43.833333333333336</x:v>
      </x:c>
      <x:c r="AV12" s="40" t="n">
        <x:f>AVERAGE(AV6,AV10)*AV11/12</x:f>
        <x:v>43.833333333333336</x:v>
      </x:c>
      <x:c r="AW12" s="40" t="n">
        <x:f>AVERAGE(AW6,AW10)*AW11/12</x:f>
        <x:v>43.833333333333336</x:v>
      </x:c>
      <x:c r="AX12" s="40" t="n">
        <x:f>AVERAGE(AX6,AX10)*AX11/12</x:f>
        <x:v>43.833333333333336</x:v>
      </x:c>
      <x:c r="AY12" s="40" t="n">
        <x:f>AVERAGE(AY6,AY10)*AY11/12</x:f>
        <x:v>43.833333333333336</x:v>
      </x:c>
      <x:c r="AZ12" s="40" t="n">
        <x:f>AVERAGE(AZ6,AZ10)*AZ11/12</x:f>
        <x:v>43.833333333333336</x:v>
      </x:c>
      <x:c r="BA12" s="40" t="n">
        <x:f>AVERAGE(BA6,BA10)*BA11/12</x:f>
        <x:v>43.833333333333336</x:v>
      </x:c>
      <x:c r="BB12" s="40" t="n">
        <x:f>AVERAGE(BB6,BB10)*BB11/12</x:f>
        <x:v>43.833333333333336</x:v>
      </x:c>
      <x:c r="BC12" s="40" t="n">
        <x:f>AVERAGE(BC6,BC10)*BC11/12</x:f>
        <x:v>43.833333333333336</x:v>
      </x:c>
      <x:c r="BD12" s="40" t="n">
        <x:f>AVERAGE(BD6,BD10)*BD11/12</x:f>
        <x:v>43.833333333333336</x:v>
      </x:c>
      <x:c r="BE12" s="40" t="n">
        <x:f>AVERAGE(BE6,BE10)*BE11/12</x:f>
        <x:v>43.833333333333336</x:v>
      </x:c>
      <x:c r="BF12" s="40" t="n">
        <x:f>AVERAGE(BF6,BF10)*BF11/12</x:f>
        <x:v>43.833333333333336</x:v>
      </x:c>
      <x:c r="BG12" s="40" t="n">
        <x:f>AVERAGE(BG6,BG10)*BG11/12</x:f>
        <x:v>43.833333333333336</x:v>
      </x:c>
      <x:c r="BH12" s="40" t="n">
        <x:f>AVERAGE(BH6,BH10)*BH11/12</x:f>
        <x:v>43.833333333333336</x:v>
      </x:c>
      <x:c r="BI12" s="40" t="n">
        <x:f>AVERAGE(BI6,BI10)*BI11/12</x:f>
        <x:v>43.833333333333336</x:v>
      </x:c>
      <x:c r="BJ12" s="40" t="n">
        <x:f>AVERAGE(BJ6,BJ10)*BJ11/12</x:f>
        <x:v>43.833333333333336</x:v>
      </x:c>
    </x:row>
    <x:row r="13">
      <x:c r="A13" s="12" t="str">
        <x:v>チェック</x:v>
      </x:c>
      <x:c r="B13" s="12" t="str">
        <x:v>借入ロールフォワードチェック</x:v>
      </x:c>
      <x:c r="C13" s="40" t="n">
        <x:f>C10-(C6+C7-C8-C9)</x:f>
        <x:v>0</x:v>
      </x:c>
      <x:c r="D13" s="40" t="n">
        <x:f>D10-(D6+D7-D8-D9)</x:f>
        <x:v>0</x:v>
      </x:c>
      <x:c r="E13" s="40" t="n">
        <x:f>E10-(E6+E7-E8-E9)</x:f>
        <x:v>0</x:v>
      </x:c>
      <x:c r="F13" s="40" t="n">
        <x:f>F10-(F6+F7-F8-F9)</x:f>
        <x:v>0</x:v>
      </x:c>
      <x:c r="G13" s="40" t="n">
        <x:f>G10-(G6+G7-G8-G9)</x:f>
        <x:v>0</x:v>
      </x:c>
      <x:c r="H13" s="40" t="n">
        <x:f>H10-(H6+H7-H8-H9)</x:f>
        <x:v>0</x:v>
      </x:c>
      <x:c r="I13" s="40" t="n">
        <x:f>I10-(I6+I7-I8-I9)</x:f>
        <x:v>0</x:v>
      </x:c>
      <x:c r="J13" s="40" t="n">
        <x:f>J10-(J6+J7-J8-J9)</x:f>
        <x:v>0</x:v>
      </x:c>
      <x:c r="K13" s="40" t="n">
        <x:f>K10-(K6+K7-K8-K9)</x:f>
        <x:v>0</x:v>
      </x:c>
      <x:c r="L13" s="40" t="n">
        <x:f>L10-(L6+L7-L8-L9)</x:f>
        <x:v>0</x:v>
      </x:c>
      <x:c r="M13" s="40" t="n">
        <x:f>M10-(M6+M7-M8-M9)</x:f>
        <x:v>0</x:v>
      </x:c>
      <x:c r="N13" s="40" t="n">
        <x:f>N10-(N6+N7-N8-N9)</x:f>
        <x:v>0</x:v>
      </x:c>
      <x:c r="O13" s="40" t="n">
        <x:f>O10-(O6+O7-O8-O9)</x:f>
        <x:v>0</x:v>
      </x:c>
      <x:c r="P13" s="40" t="n">
        <x:f>P10-(P6+P7-P8-P9)</x:f>
        <x:v>0</x:v>
      </x:c>
      <x:c r="Q13" s="40" t="n">
        <x:f>Q10-(Q6+Q7-Q8-Q9)</x:f>
        <x:v>0</x:v>
      </x:c>
      <x:c r="R13" s="40" t="n">
        <x:f>R10-(R6+R7-R8-R9)</x:f>
        <x:v>0</x:v>
      </x:c>
      <x:c r="S13" s="40" t="n">
        <x:f>S10-(S6+S7-S8-S9)</x:f>
        <x:v>0</x:v>
      </x:c>
      <x:c r="T13" s="40" t="n">
        <x:f>T10-(T6+T7-T8-T9)</x:f>
        <x:v>0</x:v>
      </x:c>
      <x:c r="U13" s="40" t="n">
        <x:f>U10-(U6+U7-U8-U9)</x:f>
        <x:v>0</x:v>
      </x:c>
      <x:c r="V13" s="40" t="n">
        <x:f>V10-(V6+V7-V8-V9)</x:f>
        <x:v>0</x:v>
      </x:c>
      <x:c r="W13" s="40" t="n">
        <x:f>W10-(W6+W7-W8-W9)</x:f>
        <x:v>0</x:v>
      </x:c>
      <x:c r="X13" s="40" t="n">
        <x:f>X10-(X6+X7-X8-X9)</x:f>
        <x:v>0</x:v>
      </x:c>
      <x:c r="Y13" s="40" t="n">
        <x:f>Y10-(Y6+Y7-Y8-Y9)</x:f>
        <x:v>0</x:v>
      </x:c>
      <x:c r="Z13" s="40" t="n">
        <x:f>Z10-(Z6+Z7-Z8-Z9)</x:f>
        <x:v>0</x:v>
      </x:c>
      <x:c r="AA13" s="40" t="n">
        <x:f>AA10-(AA6+AA7-AA8-AA9)</x:f>
        <x:v>0</x:v>
      </x:c>
      <x:c r="AB13" s="40" t="n">
        <x:f>AB10-(AB6+AB7-AB8-AB9)</x:f>
        <x:v>0</x:v>
      </x:c>
      <x:c r="AC13" s="40" t="n">
        <x:f>AC10-(AC6+AC7-AC8-AC9)</x:f>
        <x:v>0</x:v>
      </x:c>
      <x:c r="AD13" s="40" t="n">
        <x:f>AD10-(AD6+AD7-AD8-AD9)</x:f>
        <x:v>0</x:v>
      </x:c>
      <x:c r="AE13" s="40" t="n">
        <x:f>AE10-(AE6+AE7-AE8-AE9)</x:f>
        <x:v>0</x:v>
      </x:c>
      <x:c r="AF13" s="40" t="n">
        <x:f>AF10-(AF6+AF7-AF8-AF9)</x:f>
        <x:v>0</x:v>
      </x:c>
      <x:c r="AG13" s="40" t="n">
        <x:f>AG10-(AG6+AG7-AG8-AG9)</x:f>
        <x:v>0</x:v>
      </x:c>
      <x:c r="AH13" s="40" t="n">
        <x:f>AH10-(AH6+AH7-AH8-AH9)</x:f>
        <x:v>0</x:v>
      </x:c>
      <x:c r="AI13" s="40" t="n">
        <x:f>AI10-(AI6+AI7-AI8-AI9)</x:f>
        <x:v>0</x:v>
      </x:c>
      <x:c r="AJ13" s="40" t="n">
        <x:f>AJ10-(AJ6+AJ7-AJ8-AJ9)</x:f>
        <x:v>0</x:v>
      </x:c>
      <x:c r="AK13" s="40" t="n">
        <x:f>AK10-(AK6+AK7-AK8-AK9)</x:f>
        <x:v>0</x:v>
      </x:c>
      <x:c r="AL13" s="40" t="n">
        <x:f>AL10-(AL6+AL7-AL8-AL9)</x:f>
        <x:v>0</x:v>
      </x:c>
      <x:c r="AM13" s="40" t="n">
        <x:f>AM10-(AM6+AM7-AM8-AM9)</x:f>
        <x:v>0</x:v>
      </x:c>
      <x:c r="AN13" s="40" t="n">
        <x:f>AN10-(AN6+AN7-AN8-AN9)</x:f>
        <x:v>0</x:v>
      </x:c>
      <x:c r="AO13" s="40" t="n">
        <x:f>AO10-(AO6+AO7-AO8-AO9)</x:f>
        <x:v>0</x:v>
      </x:c>
      <x:c r="AP13" s="40" t="n">
        <x:f>AP10-(AP6+AP7-AP8-AP9)</x:f>
        <x:v>0</x:v>
      </x:c>
      <x:c r="AQ13" s="40" t="n">
        <x:f>AQ10-(AQ6+AQ7-AQ8-AQ9)</x:f>
        <x:v>0</x:v>
      </x:c>
      <x:c r="AR13" s="40" t="n">
        <x:f>AR10-(AR6+AR7-AR8-AR9)</x:f>
        <x:v>0</x:v>
      </x:c>
      <x:c r="AS13" s="40" t="n">
        <x:f>AS10-(AS6+AS7-AS8-AS9)</x:f>
        <x:v>0</x:v>
      </x:c>
      <x:c r="AT13" s="40" t="n">
        <x:f>AT10-(AT6+AT7-AT8-AT9)</x:f>
        <x:v>0</x:v>
      </x:c>
      <x:c r="AU13" s="40" t="n">
        <x:f>AU10-(AU6+AU7-AU8-AU9)</x:f>
        <x:v>0</x:v>
      </x:c>
      <x:c r="AV13" s="40" t="n">
        <x:f>AV10-(AV6+AV7-AV8-AV9)</x:f>
        <x:v>0</x:v>
      </x:c>
      <x:c r="AW13" s="40" t="n">
        <x:f>AW10-(AW6+AW7-AW8-AW9)</x:f>
        <x:v>0</x:v>
      </x:c>
      <x:c r="AX13" s="40" t="n">
        <x:f>AX10-(AX6+AX7-AX8-AX9)</x:f>
        <x:v>0</x:v>
      </x:c>
      <x:c r="AY13" s="40" t="n">
        <x:f>AY10-(AY6+AY7-AY8-AY9)</x:f>
        <x:v>0</x:v>
      </x:c>
      <x:c r="AZ13" s="40" t="n">
        <x:f>AZ10-(AZ6+AZ7-AZ8-AZ9)</x:f>
        <x:v>0</x:v>
      </x:c>
      <x:c r="BA13" s="40" t="n">
        <x:f>BA10-(BA6+BA7-BA8-BA9)</x:f>
        <x:v>0</x:v>
      </x:c>
      <x:c r="BB13" s="40" t="n">
        <x:f>BB10-(BB6+BB7-BB8-BB9)</x:f>
        <x:v>0</x:v>
      </x:c>
      <x:c r="BC13" s="40" t="n">
        <x:f>BC10-(BC6+BC7-BC8-BC9)</x:f>
        <x:v>0</x:v>
      </x:c>
      <x:c r="BD13" s="40" t="n">
        <x:f>BD10-(BD6+BD7-BD8-BD9)</x:f>
        <x:v>0</x:v>
      </x:c>
      <x:c r="BE13" s="40" t="n">
        <x:f>BE10-(BE6+BE7-BE8-BE9)</x:f>
        <x:v>0</x:v>
      </x:c>
      <x:c r="BF13" s="40" t="n">
        <x:f>BF10-(BF6+BF7-BF8-BF9)</x:f>
        <x:v>0</x:v>
      </x:c>
      <x:c r="BG13" s="40" t="n">
        <x:f>BG10-(BG6+BG7-BG8-BG9)</x:f>
        <x:v>0</x:v>
      </x:c>
      <x:c r="BH13" s="40" t="n">
        <x:f>BH10-(BH6+BH7-BH8-BH9)</x:f>
        <x:v>0</x:v>
      </x:c>
      <x:c r="BI13" s="40" t="n">
        <x:f>BI10-(BI6+BI7-BI8-BI9)</x:f>
        <x:v>0</x:v>
      </x:c>
      <x:c r="BJ13" s="40" t="n">
        <x:f>BJ10-(BJ6+BJ7-BJ8-BJ9)</x:f>
        <x:v>0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</x:row>
  </x:sheetData>
  <x:mergeCells>
    <x:mergeCell ref="A1:B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KPI｜運営指標・収益性・財務安全性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</x:row>
    <x:row r="2">
      <x:c r="A2" s="2" t="str">
        <x:v>単位</x:v>
      </x:c>
      <x:c r="B2" s="2" t="str">
        <x:v>千円 / % / 回 / 倍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</x:row>
    <x:row r="5">
      <x:c r="A5" s="9" t="str">
        <x:v>区分</x:v>
      </x:c>
      <x:c r="B5" s="9" t="str">
        <x:v>項目</x:v>
      </x:c>
      <x:c r="C5" s="9" t="str">
        <x:v>2026/04</x:v>
      </x:c>
      <x:c r="D5" s="9" t="str">
        <x:v>2026/05</x:v>
      </x:c>
      <x:c r="E5" s="9" t="str">
        <x:v>2026/06</x:v>
      </x:c>
      <x:c r="F5" s="9" t="str">
        <x:v>2026/07</x:v>
      </x:c>
      <x:c r="G5" s="9" t="str">
        <x:v>2026/08</x:v>
      </x:c>
      <x:c r="H5" s="9" t="str">
        <x:v>2026/09</x:v>
      </x:c>
      <x:c r="I5" s="9" t="str">
        <x:v>2026/10</x:v>
      </x:c>
      <x:c r="J5" s="9" t="str">
        <x:v>2026/11</x:v>
      </x:c>
      <x:c r="K5" s="9" t="str">
        <x:v>2026/12</x:v>
      </x:c>
      <x:c r="L5" s="9" t="str">
        <x:v>2027/01</x:v>
      </x:c>
      <x:c r="M5" s="9" t="str">
        <x:v>2027/02</x:v>
      </x:c>
      <x:c r="N5" s="9" t="str">
        <x:v>2027/03</x:v>
      </x:c>
      <x:c r="O5" s="9" t="str">
        <x:v>2027/04</x:v>
      </x:c>
      <x:c r="P5" s="9" t="str">
        <x:v>2027/05</x:v>
      </x:c>
      <x:c r="Q5" s="9" t="str">
        <x:v>2027/06</x:v>
      </x:c>
      <x:c r="R5" s="9" t="str">
        <x:v>2027/07</x:v>
      </x:c>
      <x:c r="S5" s="9" t="str">
        <x:v>2027/08</x:v>
      </x:c>
      <x:c r="T5" s="9" t="str">
        <x:v>2027/09</x:v>
      </x:c>
      <x:c r="U5" s="9" t="str">
        <x:v>2027/10</x:v>
      </x:c>
      <x:c r="V5" s="9" t="str">
        <x:v>2027/11</x:v>
      </x:c>
      <x:c r="W5" s="9" t="str">
        <x:v>2027/12</x:v>
      </x:c>
      <x:c r="X5" s="9" t="str">
        <x:v>2028/01</x:v>
      </x:c>
      <x:c r="Y5" s="9" t="str">
        <x:v>2028/02</x:v>
      </x:c>
      <x:c r="Z5" s="9" t="str">
        <x:v>2028/03</x:v>
      </x:c>
      <x:c r="AA5" s="9" t="str">
        <x:v>2028/04</x:v>
      </x:c>
      <x:c r="AB5" s="9" t="str">
        <x:v>2028/05</x:v>
      </x:c>
      <x:c r="AC5" s="9" t="str">
        <x:v>2028/06</x:v>
      </x:c>
      <x:c r="AD5" s="9" t="str">
        <x:v>2028/07</x:v>
      </x:c>
      <x:c r="AE5" s="9" t="str">
        <x:v>2028/08</x:v>
      </x:c>
      <x:c r="AF5" s="9" t="str">
        <x:v>2028/09</x:v>
      </x:c>
      <x:c r="AG5" s="9" t="str">
        <x:v>2028/10</x:v>
      </x:c>
      <x:c r="AH5" s="9" t="str">
        <x:v>2028/11</x:v>
      </x:c>
      <x:c r="AI5" s="9" t="str">
        <x:v>2028/12</x:v>
      </x:c>
      <x:c r="AJ5" s="9" t="str">
        <x:v>2029/01</x:v>
      </x:c>
      <x:c r="AK5" s="9" t="str">
        <x:v>2029/02</x:v>
      </x:c>
      <x:c r="AL5" s="9" t="str">
        <x:v>2029/03</x:v>
      </x:c>
      <x:c r="AM5" s="9" t="str">
        <x:v>2029/04</x:v>
      </x:c>
      <x:c r="AN5" s="9" t="str">
        <x:v>2029/05</x:v>
      </x:c>
      <x:c r="AO5" s="9" t="str">
        <x:v>2029/06</x:v>
      </x:c>
      <x:c r="AP5" s="9" t="str">
        <x:v>2029/07</x:v>
      </x:c>
      <x:c r="AQ5" s="9" t="str">
        <x:v>2029/08</x:v>
      </x:c>
      <x:c r="AR5" s="9" t="str">
        <x:v>2029/09</x:v>
      </x:c>
      <x:c r="AS5" s="9" t="str">
        <x:v>2029/10</x:v>
      </x:c>
      <x:c r="AT5" s="9" t="str">
        <x:v>2029/11</x:v>
      </x:c>
      <x:c r="AU5" s="9" t="str">
        <x:v>2029/12</x:v>
      </x:c>
      <x:c r="AV5" s="9" t="str">
        <x:v>2030/01</x:v>
      </x:c>
      <x:c r="AW5" s="9" t="str">
        <x:v>2030/02</x:v>
      </x:c>
      <x:c r="AX5" s="9" t="str">
        <x:v>2030/03</x:v>
      </x:c>
      <x:c r="AY5" s="9" t="str">
        <x:v>2030/04</x:v>
      </x:c>
      <x:c r="AZ5" s="9" t="str">
        <x:v>2030/05</x:v>
      </x:c>
      <x:c r="BA5" s="9" t="str">
        <x:v>2030/06</x:v>
      </x:c>
      <x:c r="BB5" s="9" t="str">
        <x:v>2030/07</x:v>
      </x:c>
      <x:c r="BC5" s="9" t="str">
        <x:v>2030/08</x:v>
      </x:c>
      <x:c r="BD5" s="9" t="str">
        <x:v>2030/09</x:v>
      </x:c>
      <x:c r="BE5" s="9" t="str">
        <x:v>2030/10</x:v>
      </x:c>
      <x:c r="BF5" s="9" t="str">
        <x:v>2030/11</x:v>
      </x:c>
      <x:c r="BG5" s="9" t="str">
        <x:v>2030/12</x:v>
      </x:c>
      <x:c r="BH5" s="9" t="str">
        <x:v>2031/01</x:v>
      </x:c>
      <x:c r="BI5" s="9" t="str">
        <x:v>2031/02</x:v>
      </x:c>
      <x:c r="BJ5" s="9" t="str">
        <x:v>2031/03</x:v>
      </x:c>
    </x:row>
    <x:row r="6">
      <x:c r="A6" s="12" t="str">
        <x:v>稼働</x:v>
      </x:c>
      <x:c r="B6" s="12" t="str">
        <x:v>客室数</x:v>
      </x:c>
      <x:c r="C6" s="40" t="n">
        <x:f>'01_入力ページ'!C6</x:f>
        <x:v>19</x:v>
      </x:c>
      <x:c r="D6" s="40" t="n">
        <x:f>'01_入力ページ'!D6</x:f>
        <x:v>19</x:v>
      </x:c>
      <x:c r="E6" s="40" t="n">
        <x:f>'01_入力ページ'!E6</x:f>
        <x:v>19</x:v>
      </x:c>
      <x:c r="F6" s="40" t="n">
        <x:f>'01_入力ページ'!F6</x:f>
        <x:v>19</x:v>
      </x:c>
      <x:c r="G6" s="40" t="n">
        <x:f>'01_入力ページ'!G6</x:f>
        <x:v>19</x:v>
      </x:c>
      <x:c r="H6" s="40" t="n">
        <x:f>'01_入力ページ'!H6</x:f>
        <x:v>19</x:v>
      </x:c>
      <x:c r="I6" s="40" t="n">
        <x:f>'01_入力ページ'!I6</x:f>
        <x:v>19</x:v>
      </x:c>
      <x:c r="J6" s="40" t="n">
        <x:f>'01_入力ページ'!J6</x:f>
        <x:v>19</x:v>
      </x:c>
      <x:c r="K6" s="40" t="n">
        <x:f>'01_入力ページ'!K6</x:f>
        <x:v>19</x:v>
      </x:c>
      <x:c r="L6" s="40" t="n">
        <x:f>'01_入力ページ'!L6</x:f>
        <x:v>19</x:v>
      </x:c>
      <x:c r="M6" s="40" t="n">
        <x:f>'01_入力ページ'!M6</x:f>
        <x:v>19</x:v>
      </x:c>
      <x:c r="N6" s="40" t="n">
        <x:f>'01_入力ページ'!N6</x:f>
        <x:v>19</x:v>
      </x:c>
      <x:c r="O6" s="40" t="n">
        <x:f>'01_入力ページ'!O6</x:f>
        <x:v>19</x:v>
      </x:c>
      <x:c r="P6" s="40" t="n">
        <x:f>'01_入力ページ'!P6</x:f>
        <x:v>19</x:v>
      </x:c>
      <x:c r="Q6" s="40" t="n">
        <x:f>'01_入力ページ'!Q6</x:f>
        <x:v>19</x:v>
      </x:c>
      <x:c r="R6" s="40" t="n">
        <x:f>'01_入力ページ'!R6</x:f>
        <x:v>19</x:v>
      </x:c>
      <x:c r="S6" s="40" t="n">
        <x:f>'01_入力ページ'!S6</x:f>
        <x:v>19</x:v>
      </x:c>
      <x:c r="T6" s="40" t="n">
        <x:f>'01_入力ページ'!T6</x:f>
        <x:v>19</x:v>
      </x:c>
      <x:c r="U6" s="40" t="n">
        <x:f>'01_入力ページ'!U6</x:f>
        <x:v>19</x:v>
      </x:c>
      <x:c r="V6" s="40" t="n">
        <x:f>'01_入力ページ'!V6</x:f>
        <x:v>19</x:v>
      </x:c>
      <x:c r="W6" s="40" t="n">
        <x:f>'01_入力ページ'!W6</x:f>
        <x:v>19</x:v>
      </x:c>
      <x:c r="X6" s="40" t="n">
        <x:f>'01_入力ページ'!X6</x:f>
        <x:v>19</x:v>
      </x:c>
      <x:c r="Y6" s="40" t="n">
        <x:f>'01_入力ページ'!Y6</x:f>
        <x:v>19</x:v>
      </x:c>
      <x:c r="Z6" s="40" t="n">
        <x:f>'01_入力ページ'!Z6</x:f>
        <x:v>19</x:v>
      </x:c>
      <x:c r="AA6" s="40" t="n">
        <x:f>'01_入力ページ'!AA6</x:f>
        <x:v>19</x:v>
      </x:c>
      <x:c r="AB6" s="40" t="n">
        <x:f>'01_入力ページ'!AB6</x:f>
        <x:v>19</x:v>
      </x:c>
      <x:c r="AC6" s="40" t="n">
        <x:f>'01_入力ページ'!AC6</x:f>
        <x:v>19</x:v>
      </x:c>
      <x:c r="AD6" s="40" t="n">
        <x:f>'01_入力ページ'!AD6</x:f>
        <x:v>19</x:v>
      </x:c>
      <x:c r="AE6" s="40" t="n">
        <x:f>'01_入力ページ'!AE6</x:f>
        <x:v>19</x:v>
      </x:c>
      <x:c r="AF6" s="40" t="n">
        <x:f>'01_入力ページ'!AF6</x:f>
        <x:v>19</x:v>
      </x:c>
      <x:c r="AG6" s="40" t="n">
        <x:f>'01_入力ページ'!AG6</x:f>
        <x:v>19</x:v>
      </x:c>
      <x:c r="AH6" s="40" t="n">
        <x:f>'01_入力ページ'!AH6</x:f>
        <x:v>19</x:v>
      </x:c>
      <x:c r="AI6" s="40" t="n">
        <x:f>'01_入力ページ'!AI6</x:f>
        <x:v>19</x:v>
      </x:c>
      <x:c r="AJ6" s="40" t="n">
        <x:f>'01_入力ページ'!AJ6</x:f>
        <x:v>19</x:v>
      </x:c>
      <x:c r="AK6" s="40" t="n">
        <x:f>'01_入力ページ'!AK6</x:f>
        <x:v>19</x:v>
      </x:c>
      <x:c r="AL6" s="40" t="n">
        <x:f>'01_入力ページ'!AL6</x:f>
        <x:v>19</x:v>
      </x:c>
      <x:c r="AM6" s="40" t="n">
        <x:f>'01_入力ページ'!AM6</x:f>
        <x:v>19</x:v>
      </x:c>
      <x:c r="AN6" s="40" t="n">
        <x:f>'01_入力ページ'!AN6</x:f>
        <x:v>19</x:v>
      </x:c>
      <x:c r="AO6" s="40" t="n">
        <x:f>'01_入力ページ'!AO6</x:f>
        <x:v>19</x:v>
      </x:c>
      <x:c r="AP6" s="40" t="n">
        <x:f>'01_入力ページ'!AP6</x:f>
        <x:v>19</x:v>
      </x:c>
      <x:c r="AQ6" s="40" t="n">
        <x:f>'01_入力ページ'!AQ6</x:f>
        <x:v>19</x:v>
      </x:c>
      <x:c r="AR6" s="40" t="n">
        <x:f>'01_入力ページ'!AR6</x:f>
        <x:v>19</x:v>
      </x:c>
      <x:c r="AS6" s="40" t="n">
        <x:f>'01_入力ページ'!AS6</x:f>
        <x:v>19</x:v>
      </x:c>
      <x:c r="AT6" s="40" t="n">
        <x:f>'01_入力ページ'!AT6</x:f>
        <x:v>19</x:v>
      </x:c>
      <x:c r="AU6" s="40" t="n">
        <x:f>'01_入力ページ'!AU6</x:f>
        <x:v>19</x:v>
      </x:c>
      <x:c r="AV6" s="40" t="n">
        <x:f>'01_入力ページ'!AV6</x:f>
        <x:v>19</x:v>
      </x:c>
      <x:c r="AW6" s="40" t="n">
        <x:f>'01_入力ページ'!AW6</x:f>
        <x:v>19</x:v>
      </x:c>
      <x:c r="AX6" s="40" t="n">
        <x:f>'01_入力ページ'!AX6</x:f>
        <x:v>19</x:v>
      </x:c>
      <x:c r="AY6" s="40" t="n">
        <x:f>'01_入力ページ'!AY6</x:f>
        <x:v>19</x:v>
      </x:c>
      <x:c r="AZ6" s="40" t="n">
        <x:f>'01_入力ページ'!AZ6</x:f>
        <x:v>19</x:v>
      </x:c>
      <x:c r="BA6" s="40" t="n">
        <x:f>'01_入力ページ'!BA6</x:f>
        <x:v>19</x:v>
      </x:c>
      <x:c r="BB6" s="40" t="n">
        <x:f>'01_入力ページ'!BB6</x:f>
        <x:v>19</x:v>
      </x:c>
      <x:c r="BC6" s="40" t="n">
        <x:f>'01_入力ページ'!BC6</x:f>
        <x:v>19</x:v>
      </x:c>
      <x:c r="BD6" s="40" t="n">
        <x:f>'01_入力ページ'!BD6</x:f>
        <x:v>19</x:v>
      </x:c>
      <x:c r="BE6" s="40" t="n">
        <x:f>'01_入力ページ'!BE6</x:f>
        <x:v>19</x:v>
      </x:c>
      <x:c r="BF6" s="40" t="n">
        <x:f>'01_入力ページ'!BF6</x:f>
        <x:v>19</x:v>
      </x:c>
      <x:c r="BG6" s="40" t="n">
        <x:f>'01_入力ページ'!BG6</x:f>
        <x:v>19</x:v>
      </x:c>
      <x:c r="BH6" s="40" t="n">
        <x:f>'01_入力ページ'!BH6</x:f>
        <x:v>19</x:v>
      </x:c>
      <x:c r="BI6" s="40" t="n">
        <x:f>'01_入力ページ'!BI6</x:f>
        <x:v>19</x:v>
      </x:c>
      <x:c r="BJ6" s="40" t="n">
        <x:f>'01_入力ページ'!BJ6</x:f>
        <x:v>19</x:v>
      </x:c>
    </x:row>
    <x:row r="7">
      <x:c r="A7" s="12" t="str">
        <x:v>稼働</x:v>
      </x:c>
      <x:c r="B7" s="12" t="str">
        <x:v>販売可能室数</x:v>
      </x:c>
      <x:c r="C7" s="40" t="n">
        <x:f>'01_入力ページ'!C8</x:f>
        <x:v>570</x:v>
      </x:c>
      <x:c r="D7" s="40" t="n">
        <x:f>'01_入力ページ'!D8</x:f>
        <x:v>589</x:v>
      </x:c>
      <x:c r="E7" s="40" t="n">
        <x:f>'01_入力ページ'!E8</x:f>
        <x:v>570</x:v>
      </x:c>
      <x:c r="F7" s="40" t="n">
        <x:f>'01_入力ページ'!F8</x:f>
        <x:v>589</x:v>
      </x:c>
      <x:c r="G7" s="40" t="n">
        <x:f>'01_入力ページ'!G8</x:f>
        <x:v>589</x:v>
      </x:c>
      <x:c r="H7" s="40" t="n">
        <x:f>'01_入力ページ'!H8</x:f>
        <x:v>570</x:v>
      </x:c>
      <x:c r="I7" s="40" t="n">
        <x:f>'01_入力ページ'!I8</x:f>
        <x:v>589</x:v>
      </x:c>
      <x:c r="J7" s="40" t="n">
        <x:f>'01_入力ページ'!J8</x:f>
        <x:v>570</x:v>
      </x:c>
      <x:c r="K7" s="40" t="n">
        <x:f>'01_入力ページ'!K8</x:f>
        <x:v>589</x:v>
      </x:c>
      <x:c r="L7" s="40" t="n">
        <x:f>'01_入力ページ'!L8</x:f>
        <x:v>589</x:v>
      </x:c>
      <x:c r="M7" s="40" t="n">
        <x:f>'01_入力ページ'!M8</x:f>
        <x:v>532</x:v>
      </x:c>
      <x:c r="N7" s="40" t="n">
        <x:f>'01_入力ページ'!N8</x:f>
        <x:v>589</x:v>
      </x:c>
      <x:c r="O7" s="40" t="n">
        <x:f>'01_入力ページ'!O8</x:f>
        <x:v>570</x:v>
      </x:c>
      <x:c r="P7" s="40" t="n">
        <x:f>'01_入力ページ'!P8</x:f>
        <x:v>589</x:v>
      </x:c>
      <x:c r="Q7" s="40" t="n">
        <x:f>'01_入力ページ'!Q8</x:f>
        <x:v>570</x:v>
      </x:c>
      <x:c r="R7" s="40" t="n">
        <x:f>'01_入力ページ'!R8</x:f>
        <x:v>589</x:v>
      </x:c>
      <x:c r="S7" s="40" t="n">
        <x:f>'01_入力ページ'!S8</x:f>
        <x:v>589</x:v>
      </x:c>
      <x:c r="T7" s="40" t="n">
        <x:f>'01_入力ページ'!T8</x:f>
        <x:v>570</x:v>
      </x:c>
      <x:c r="U7" s="40" t="n">
        <x:f>'01_入力ページ'!U8</x:f>
        <x:v>589</x:v>
      </x:c>
      <x:c r="V7" s="40" t="n">
        <x:f>'01_入力ページ'!V8</x:f>
        <x:v>570</x:v>
      </x:c>
      <x:c r="W7" s="40" t="n">
        <x:f>'01_入力ページ'!W8</x:f>
        <x:v>589</x:v>
      </x:c>
      <x:c r="X7" s="40" t="n">
        <x:f>'01_入力ページ'!X8</x:f>
        <x:v>589</x:v>
      </x:c>
      <x:c r="Y7" s="40" t="n">
        <x:f>'01_入力ページ'!Y8</x:f>
        <x:v>551</x:v>
      </x:c>
      <x:c r="Z7" s="40" t="n">
        <x:f>'01_入力ページ'!Z8</x:f>
        <x:v>589</x:v>
      </x:c>
      <x:c r="AA7" s="40" t="n">
        <x:f>'01_入力ページ'!AA8</x:f>
        <x:v>570</x:v>
      </x:c>
      <x:c r="AB7" s="40" t="n">
        <x:f>'01_入力ページ'!AB8</x:f>
        <x:v>589</x:v>
      </x:c>
      <x:c r="AC7" s="40" t="n">
        <x:f>'01_入力ページ'!AC8</x:f>
        <x:v>570</x:v>
      </x:c>
      <x:c r="AD7" s="40" t="n">
        <x:f>'01_入力ページ'!AD8</x:f>
        <x:v>589</x:v>
      </x:c>
      <x:c r="AE7" s="40" t="n">
        <x:f>'01_入力ページ'!AE8</x:f>
        <x:v>589</x:v>
      </x:c>
      <x:c r="AF7" s="40" t="n">
        <x:f>'01_入力ページ'!AF8</x:f>
        <x:v>570</x:v>
      </x:c>
      <x:c r="AG7" s="40" t="n">
        <x:f>'01_入力ページ'!AG8</x:f>
        <x:v>589</x:v>
      </x:c>
      <x:c r="AH7" s="40" t="n">
        <x:f>'01_入力ページ'!AH8</x:f>
        <x:v>570</x:v>
      </x:c>
      <x:c r="AI7" s="40" t="n">
        <x:f>'01_入力ページ'!AI8</x:f>
        <x:v>589</x:v>
      </x:c>
      <x:c r="AJ7" s="40" t="n">
        <x:f>'01_入力ページ'!AJ8</x:f>
        <x:v>589</x:v>
      </x:c>
      <x:c r="AK7" s="40" t="n">
        <x:f>'01_入力ページ'!AK8</x:f>
        <x:v>532</x:v>
      </x:c>
      <x:c r="AL7" s="40" t="n">
        <x:f>'01_入力ページ'!AL8</x:f>
        <x:v>589</x:v>
      </x:c>
      <x:c r="AM7" s="40" t="n">
        <x:f>'01_入力ページ'!AM8</x:f>
        <x:v>570</x:v>
      </x:c>
      <x:c r="AN7" s="40" t="n">
        <x:f>'01_入力ページ'!AN8</x:f>
        <x:v>589</x:v>
      </x:c>
      <x:c r="AO7" s="40" t="n">
        <x:f>'01_入力ページ'!AO8</x:f>
        <x:v>570</x:v>
      </x:c>
      <x:c r="AP7" s="40" t="n">
        <x:f>'01_入力ページ'!AP8</x:f>
        <x:v>589</x:v>
      </x:c>
      <x:c r="AQ7" s="40" t="n">
        <x:f>'01_入力ページ'!AQ8</x:f>
        <x:v>589</x:v>
      </x:c>
      <x:c r="AR7" s="40" t="n">
        <x:f>'01_入力ページ'!AR8</x:f>
        <x:v>570</x:v>
      </x:c>
      <x:c r="AS7" s="40" t="n">
        <x:f>'01_入力ページ'!AS8</x:f>
        <x:v>589</x:v>
      </x:c>
      <x:c r="AT7" s="40" t="n">
        <x:f>'01_入力ページ'!AT8</x:f>
        <x:v>570</x:v>
      </x:c>
      <x:c r="AU7" s="40" t="n">
        <x:f>'01_入力ページ'!AU8</x:f>
        <x:v>589</x:v>
      </x:c>
      <x:c r="AV7" s="40" t="n">
        <x:f>'01_入力ページ'!AV8</x:f>
        <x:v>589</x:v>
      </x:c>
      <x:c r="AW7" s="40" t="n">
        <x:f>'01_入力ページ'!AW8</x:f>
        <x:v>532</x:v>
      </x:c>
      <x:c r="AX7" s="40" t="n">
        <x:f>'01_入力ページ'!AX8</x:f>
        <x:v>589</x:v>
      </x:c>
      <x:c r="AY7" s="40" t="n">
        <x:f>'01_入力ページ'!AY8</x:f>
        <x:v>570</x:v>
      </x:c>
      <x:c r="AZ7" s="40" t="n">
        <x:f>'01_入力ページ'!AZ8</x:f>
        <x:v>589</x:v>
      </x:c>
      <x:c r="BA7" s="40" t="n">
        <x:f>'01_入力ページ'!BA8</x:f>
        <x:v>570</x:v>
      </x:c>
      <x:c r="BB7" s="40" t="n">
        <x:f>'01_入力ページ'!BB8</x:f>
        <x:v>589</x:v>
      </x:c>
      <x:c r="BC7" s="40" t="n">
        <x:f>'01_入力ページ'!BC8</x:f>
        <x:v>589</x:v>
      </x:c>
      <x:c r="BD7" s="40" t="n">
        <x:f>'01_入力ページ'!BD8</x:f>
        <x:v>570</x:v>
      </x:c>
      <x:c r="BE7" s="40" t="n">
        <x:f>'01_入力ページ'!BE8</x:f>
        <x:v>589</x:v>
      </x:c>
      <x:c r="BF7" s="40" t="n">
        <x:f>'01_入力ページ'!BF8</x:f>
        <x:v>570</x:v>
      </x:c>
      <x:c r="BG7" s="40" t="n">
        <x:f>'01_入力ページ'!BG8</x:f>
        <x:v>589</x:v>
      </x:c>
      <x:c r="BH7" s="40" t="n">
        <x:f>'01_入力ページ'!BH8</x:f>
        <x:v>589</x:v>
      </x:c>
      <x:c r="BI7" s="40" t="n">
        <x:f>'01_入力ページ'!BI8</x:f>
        <x:v>532</x:v>
      </x:c>
      <x:c r="BJ7" s="40" t="n">
        <x:f>'01_入力ページ'!BJ8</x:f>
        <x:v>589</x:v>
      </x:c>
    </x:row>
    <x:row r="8">
      <x:c r="A8" s="12" t="str">
        <x:v>稼働</x:v>
      </x:c>
      <x:c r="B8" s="12" t="str">
        <x:v>販売室数</x:v>
      </x:c>
      <x:c r="C8" s="40" t="n">
        <x:f>'01_入力ページ'!C10</x:f>
        <x:v>216.6</x:v>
      </x:c>
      <x:c r="D8" s="40" t="n">
        <x:f>'01_入力ページ'!D10</x:f>
        <x:v>223.82</x:v>
      </x:c>
      <x:c r="E8" s="40" t="n">
        <x:f>'01_入力ページ'!E10</x:f>
        <x:v>216.6</x:v>
      </x:c>
      <x:c r="F8" s="40" t="n">
        <x:f>'01_入力ページ'!F10</x:f>
        <x:v>400.52000000000004</x:v>
      </x:c>
      <x:c r="G8" s="40" t="n">
        <x:f>'01_入力ページ'!G10</x:f>
        <x:v>400.52000000000004</x:v>
      </x:c>
      <x:c r="H8" s="40" t="n">
        <x:f>'01_入力ページ'!H10</x:f>
        <x:v>216.6</x:v>
      </x:c>
      <x:c r="I8" s="40" t="n">
        <x:f>'01_入力ページ'!I10</x:f>
        <x:v>223.82</x:v>
      </x:c>
      <x:c r="J8" s="40" t="n">
        <x:f>'01_入力ページ'!J10</x:f>
        <x:v>216.6</x:v>
      </x:c>
      <x:c r="K8" s="40" t="n">
        <x:f>'01_入力ページ'!K10</x:f>
        <x:v>400.52000000000004</x:v>
      </x:c>
      <x:c r="L8" s="40" t="n">
        <x:f>'01_入力ページ'!L10</x:f>
        <x:v>482.97999999999996</x:v>
      </x:c>
      <x:c r="M8" s="40" t="n">
        <x:f>'01_入力ページ'!M10</x:f>
        <x:v>436.23999999999995</x:v>
      </x:c>
      <x:c r="N8" s="40" t="n">
        <x:f>'01_入力ページ'!N10</x:f>
        <x:v>294.5</x:v>
      </x:c>
      <x:c r="O8" s="40" t="n">
        <x:f>'01_入力ページ'!O10</x:f>
        <x:v>216.6</x:v>
      </x:c>
      <x:c r="P8" s="40" t="n">
        <x:f>'01_入力ページ'!P10</x:f>
        <x:v>223.82</x:v>
      </x:c>
      <x:c r="Q8" s="40" t="n">
        <x:f>'01_入力ページ'!Q10</x:f>
        <x:v>216.6</x:v>
      </x:c>
      <x:c r="R8" s="40" t="n">
        <x:f>'01_入力ページ'!R10</x:f>
        <x:v>400.52000000000004</x:v>
      </x:c>
      <x:c r="S8" s="40" t="n">
        <x:f>'01_入力ページ'!S10</x:f>
        <x:v>400.52000000000004</x:v>
      </x:c>
      <x:c r="T8" s="40" t="n">
        <x:f>'01_入力ページ'!T10</x:f>
        <x:v>216.6</x:v>
      </x:c>
      <x:c r="U8" s="40" t="n">
        <x:f>'01_入力ページ'!U10</x:f>
        <x:v>223.82</x:v>
      </x:c>
      <x:c r="V8" s="40" t="n">
        <x:f>'01_入力ページ'!V10</x:f>
        <x:v>216.6</x:v>
      </x:c>
      <x:c r="W8" s="40" t="n">
        <x:f>'01_入力ページ'!W10</x:f>
        <x:v>400.52000000000004</x:v>
      </x:c>
      <x:c r="X8" s="40" t="n">
        <x:f>'01_入力ページ'!X10</x:f>
        <x:v>482.97999999999996</x:v>
      </x:c>
      <x:c r="Y8" s="40" t="n">
        <x:f>'01_入力ページ'!Y10</x:f>
        <x:v>451.82</x:v>
      </x:c>
      <x:c r="Z8" s="40" t="n">
        <x:f>'01_入力ページ'!Z10</x:f>
        <x:v>294.5</x:v>
      </x:c>
      <x:c r="AA8" s="40" t="n">
        <x:f>'01_入力ページ'!AA10</x:f>
        <x:v>216.6</x:v>
      </x:c>
      <x:c r="AB8" s="40" t="n">
        <x:f>'01_入力ページ'!AB10</x:f>
        <x:v>223.82</x:v>
      </x:c>
      <x:c r="AC8" s="40" t="n">
        <x:f>'01_入力ページ'!AC10</x:f>
        <x:v>216.6</x:v>
      </x:c>
      <x:c r="AD8" s="40" t="n">
        <x:f>'01_入力ページ'!AD10</x:f>
        <x:v>400.52000000000004</x:v>
      </x:c>
      <x:c r="AE8" s="40" t="n">
        <x:f>'01_入力ページ'!AE10</x:f>
        <x:v>400.52000000000004</x:v>
      </x:c>
      <x:c r="AF8" s="40" t="n">
        <x:f>'01_入力ページ'!AF10</x:f>
        <x:v>216.6</x:v>
      </x:c>
      <x:c r="AG8" s="40" t="n">
        <x:f>'01_入力ページ'!AG10</x:f>
        <x:v>223.82</x:v>
      </x:c>
      <x:c r="AH8" s="40" t="n">
        <x:f>'01_入力ページ'!AH10</x:f>
        <x:v>216.6</x:v>
      </x:c>
      <x:c r="AI8" s="40" t="n">
        <x:f>'01_入力ページ'!AI10</x:f>
        <x:v>400.52000000000004</x:v>
      </x:c>
      <x:c r="AJ8" s="40" t="n">
        <x:f>'01_入力ページ'!AJ10</x:f>
        <x:v>482.97999999999996</x:v>
      </x:c>
      <x:c r="AK8" s="40" t="n">
        <x:f>'01_入力ページ'!AK10</x:f>
        <x:v>436.23999999999995</x:v>
      </x:c>
      <x:c r="AL8" s="40" t="n">
        <x:f>'01_入力ページ'!AL10</x:f>
        <x:v>294.5</x:v>
      </x:c>
      <x:c r="AM8" s="40" t="n">
        <x:f>'01_入力ページ'!AM10</x:f>
        <x:v>216.6</x:v>
      </x:c>
      <x:c r="AN8" s="40" t="n">
        <x:f>'01_入力ページ'!AN10</x:f>
        <x:v>223.82</x:v>
      </x:c>
      <x:c r="AO8" s="40" t="n">
        <x:f>'01_入力ページ'!AO10</x:f>
        <x:v>216.6</x:v>
      </x:c>
      <x:c r="AP8" s="40" t="n">
        <x:f>'01_入力ページ'!AP10</x:f>
        <x:v>400.52000000000004</x:v>
      </x:c>
      <x:c r="AQ8" s="40" t="n">
        <x:f>'01_入力ページ'!AQ10</x:f>
        <x:v>400.52000000000004</x:v>
      </x:c>
      <x:c r="AR8" s="40" t="n">
        <x:f>'01_入力ページ'!AR10</x:f>
        <x:v>216.6</x:v>
      </x:c>
      <x:c r="AS8" s="40" t="n">
        <x:f>'01_入力ページ'!AS10</x:f>
        <x:v>223.82</x:v>
      </x:c>
      <x:c r="AT8" s="40" t="n">
        <x:f>'01_入力ページ'!AT10</x:f>
        <x:v>216.6</x:v>
      </x:c>
      <x:c r="AU8" s="40" t="n">
        <x:f>'01_入力ページ'!AU10</x:f>
        <x:v>400.52000000000004</x:v>
      </x:c>
      <x:c r="AV8" s="40" t="n">
        <x:f>'01_入力ページ'!AV10</x:f>
        <x:v>482.97999999999996</x:v>
      </x:c>
      <x:c r="AW8" s="40" t="n">
        <x:f>'01_入力ページ'!AW10</x:f>
        <x:v>436.23999999999995</x:v>
      </x:c>
      <x:c r="AX8" s="40" t="n">
        <x:f>'01_入力ページ'!AX10</x:f>
        <x:v>294.5</x:v>
      </x:c>
      <x:c r="AY8" s="40" t="n">
        <x:f>'01_入力ページ'!AY10</x:f>
        <x:v>216.6</x:v>
      </x:c>
      <x:c r="AZ8" s="40" t="n">
        <x:f>'01_入力ページ'!AZ10</x:f>
        <x:v>223.82</x:v>
      </x:c>
      <x:c r="BA8" s="40" t="n">
        <x:f>'01_入力ページ'!BA10</x:f>
        <x:v>216.6</x:v>
      </x:c>
      <x:c r="BB8" s="40" t="n">
        <x:f>'01_入力ページ'!BB10</x:f>
        <x:v>400.52000000000004</x:v>
      </x:c>
      <x:c r="BC8" s="40" t="n">
        <x:f>'01_入力ページ'!BC10</x:f>
        <x:v>400.52000000000004</x:v>
      </x:c>
      <x:c r="BD8" s="40" t="n">
        <x:f>'01_入力ページ'!BD10</x:f>
        <x:v>216.6</x:v>
      </x:c>
      <x:c r="BE8" s="40" t="n">
        <x:f>'01_入力ページ'!BE10</x:f>
        <x:v>223.82</x:v>
      </x:c>
      <x:c r="BF8" s="40" t="n">
        <x:f>'01_入力ページ'!BF10</x:f>
        <x:v>216.6</x:v>
      </x:c>
      <x:c r="BG8" s="40" t="n">
        <x:f>'01_入力ページ'!BG10</x:f>
        <x:v>400.52000000000004</x:v>
      </x:c>
      <x:c r="BH8" s="40" t="n">
        <x:f>'01_入力ページ'!BH10</x:f>
        <x:v>482.97999999999996</x:v>
      </x:c>
      <x:c r="BI8" s="40" t="n">
        <x:f>'01_入力ページ'!BI10</x:f>
        <x:v>436.23999999999995</x:v>
      </x:c>
      <x:c r="BJ8" s="40" t="n">
        <x:f>'01_入力ページ'!BJ10</x:f>
        <x:v>294.5</x:v>
      </x:c>
    </x:row>
    <x:row r="9">
      <x:c r="A9" s="12" t="str">
        <x:v>稼働</x:v>
      </x:c>
      <x:c r="B9" s="12" t="str">
        <x:v>稼働率</x:v>
      </x:c>
      <x:c r="C9" s="41" t="n">
        <x:f>IFERROR(C8/C7,0)</x:f>
        <x:v>0.38</x:v>
      </x:c>
      <x:c r="D9" s="41" t="n">
        <x:f>IFERROR(D8/D7,0)</x:f>
        <x:v>0.38</x:v>
      </x:c>
      <x:c r="E9" s="41" t="n">
        <x:f>IFERROR(E8/E7,0)</x:f>
        <x:v>0.38</x:v>
      </x:c>
      <x:c r="F9" s="41" t="n">
        <x:f>IFERROR(F8/F7,0)</x:f>
        <x:v>0.68</x:v>
      </x:c>
      <x:c r="G9" s="41" t="n">
        <x:f>IFERROR(G8/G7,0)</x:f>
        <x:v>0.68</x:v>
      </x:c>
      <x:c r="H9" s="41" t="n">
        <x:f>IFERROR(H8/H7,0)</x:f>
        <x:v>0.38</x:v>
      </x:c>
      <x:c r="I9" s="41" t="n">
        <x:f>IFERROR(I8/I7,0)</x:f>
        <x:v>0.38</x:v>
      </x:c>
      <x:c r="J9" s="41" t="n">
        <x:f>IFERROR(J8/J7,0)</x:f>
        <x:v>0.38</x:v>
      </x:c>
      <x:c r="K9" s="41" t="n">
        <x:f>IFERROR(K8/K7,0)</x:f>
        <x:v>0.68</x:v>
      </x:c>
      <x:c r="L9" s="41" t="n">
        <x:f>IFERROR(L8/L7,0)</x:f>
        <x:v>0.82</x:v>
      </x:c>
      <x:c r="M9" s="41" t="n">
        <x:f>IFERROR(M8/M7,0)</x:f>
        <x:v>0.82</x:v>
      </x:c>
      <x:c r="N9" s="41" t="n">
        <x:f>IFERROR(N8/N7,0)</x:f>
        <x:v>0.5</x:v>
      </x:c>
      <x:c r="O9" s="41" t="n">
        <x:f>IFERROR(O8/O7,0)</x:f>
        <x:v>0.38</x:v>
      </x:c>
      <x:c r="P9" s="41" t="n">
        <x:f>IFERROR(P8/P7,0)</x:f>
        <x:v>0.38</x:v>
      </x:c>
      <x:c r="Q9" s="41" t="n">
        <x:f>IFERROR(Q8/Q7,0)</x:f>
        <x:v>0.38</x:v>
      </x:c>
      <x:c r="R9" s="41" t="n">
        <x:f>IFERROR(R8/R7,0)</x:f>
        <x:v>0.68</x:v>
      </x:c>
      <x:c r="S9" s="41" t="n">
        <x:f>IFERROR(S8/S7,0)</x:f>
        <x:v>0.68</x:v>
      </x:c>
      <x:c r="T9" s="41" t="n">
        <x:f>IFERROR(T8/T7,0)</x:f>
        <x:v>0.38</x:v>
      </x:c>
      <x:c r="U9" s="41" t="n">
        <x:f>IFERROR(U8/U7,0)</x:f>
        <x:v>0.38</x:v>
      </x:c>
      <x:c r="V9" s="41" t="n">
        <x:f>IFERROR(V8/V7,0)</x:f>
        <x:v>0.38</x:v>
      </x:c>
      <x:c r="W9" s="41" t="n">
        <x:f>IFERROR(W8/W7,0)</x:f>
        <x:v>0.68</x:v>
      </x:c>
      <x:c r="X9" s="41" t="n">
        <x:f>IFERROR(X8/X7,0)</x:f>
        <x:v>0.82</x:v>
      </x:c>
      <x:c r="Y9" s="41" t="n">
        <x:f>IFERROR(Y8/Y7,0)</x:f>
        <x:v>0.82</x:v>
      </x:c>
      <x:c r="Z9" s="41" t="n">
        <x:f>IFERROR(Z8/Z7,0)</x:f>
        <x:v>0.5</x:v>
      </x:c>
      <x:c r="AA9" s="41" t="n">
        <x:f>IFERROR(AA8/AA7,0)</x:f>
        <x:v>0.38</x:v>
      </x:c>
      <x:c r="AB9" s="41" t="n">
        <x:f>IFERROR(AB8/AB7,0)</x:f>
        <x:v>0.38</x:v>
      </x:c>
      <x:c r="AC9" s="41" t="n">
        <x:f>IFERROR(AC8/AC7,0)</x:f>
        <x:v>0.38</x:v>
      </x:c>
      <x:c r="AD9" s="41" t="n">
        <x:f>IFERROR(AD8/AD7,0)</x:f>
        <x:v>0.68</x:v>
      </x:c>
      <x:c r="AE9" s="41" t="n">
        <x:f>IFERROR(AE8/AE7,0)</x:f>
        <x:v>0.68</x:v>
      </x:c>
      <x:c r="AF9" s="41" t="n">
        <x:f>IFERROR(AF8/AF7,0)</x:f>
        <x:v>0.38</x:v>
      </x:c>
      <x:c r="AG9" s="41" t="n">
        <x:f>IFERROR(AG8/AG7,0)</x:f>
        <x:v>0.38</x:v>
      </x:c>
      <x:c r="AH9" s="41" t="n">
        <x:f>IFERROR(AH8/AH7,0)</x:f>
        <x:v>0.38</x:v>
      </x:c>
      <x:c r="AI9" s="41" t="n">
        <x:f>IFERROR(AI8/AI7,0)</x:f>
        <x:v>0.68</x:v>
      </x:c>
      <x:c r="AJ9" s="41" t="n">
        <x:f>IFERROR(AJ8/AJ7,0)</x:f>
        <x:v>0.82</x:v>
      </x:c>
      <x:c r="AK9" s="41" t="n">
        <x:f>IFERROR(AK8/AK7,0)</x:f>
        <x:v>0.82</x:v>
      </x:c>
      <x:c r="AL9" s="41" t="n">
        <x:f>IFERROR(AL8/AL7,0)</x:f>
        <x:v>0.5</x:v>
      </x:c>
      <x:c r="AM9" s="41" t="n">
        <x:f>IFERROR(AM8/AM7,0)</x:f>
        <x:v>0.38</x:v>
      </x:c>
      <x:c r="AN9" s="41" t="n">
        <x:f>IFERROR(AN8/AN7,0)</x:f>
        <x:v>0.38</x:v>
      </x:c>
      <x:c r="AO9" s="41" t="n">
        <x:f>IFERROR(AO8/AO7,0)</x:f>
        <x:v>0.38</x:v>
      </x:c>
      <x:c r="AP9" s="41" t="n">
        <x:f>IFERROR(AP8/AP7,0)</x:f>
        <x:v>0.68</x:v>
      </x:c>
      <x:c r="AQ9" s="41" t="n">
        <x:f>IFERROR(AQ8/AQ7,0)</x:f>
        <x:v>0.68</x:v>
      </x:c>
      <x:c r="AR9" s="41" t="n">
        <x:f>IFERROR(AR8/AR7,0)</x:f>
        <x:v>0.38</x:v>
      </x:c>
      <x:c r="AS9" s="41" t="n">
        <x:f>IFERROR(AS8/AS7,0)</x:f>
        <x:v>0.38</x:v>
      </x:c>
      <x:c r="AT9" s="41" t="n">
        <x:f>IFERROR(AT8/AT7,0)</x:f>
        <x:v>0.38</x:v>
      </x:c>
      <x:c r="AU9" s="41" t="n">
        <x:f>IFERROR(AU8/AU7,0)</x:f>
        <x:v>0.68</x:v>
      </x:c>
      <x:c r="AV9" s="41" t="n">
        <x:f>IFERROR(AV8/AV7,0)</x:f>
        <x:v>0.82</x:v>
      </x:c>
      <x:c r="AW9" s="41" t="n">
        <x:f>IFERROR(AW8/AW7,0)</x:f>
        <x:v>0.82</x:v>
      </x:c>
      <x:c r="AX9" s="41" t="n">
        <x:f>IFERROR(AX8/AX7,0)</x:f>
        <x:v>0.5</x:v>
      </x:c>
      <x:c r="AY9" s="41" t="n">
        <x:f>IFERROR(AY8/AY7,0)</x:f>
        <x:v>0.38</x:v>
      </x:c>
      <x:c r="AZ9" s="41" t="n">
        <x:f>IFERROR(AZ8/AZ7,0)</x:f>
        <x:v>0.38</x:v>
      </x:c>
      <x:c r="BA9" s="41" t="n">
        <x:f>IFERROR(BA8/BA7,0)</x:f>
        <x:v>0.38</x:v>
      </x:c>
      <x:c r="BB9" s="41" t="n">
        <x:f>IFERROR(BB8/BB7,0)</x:f>
        <x:v>0.68</x:v>
      </x:c>
      <x:c r="BC9" s="41" t="n">
        <x:f>IFERROR(BC8/BC7,0)</x:f>
        <x:v>0.68</x:v>
      </x:c>
      <x:c r="BD9" s="41" t="n">
        <x:f>IFERROR(BD8/BD7,0)</x:f>
        <x:v>0.38</x:v>
      </x:c>
      <x:c r="BE9" s="41" t="n">
        <x:f>IFERROR(BE8/BE7,0)</x:f>
        <x:v>0.38</x:v>
      </x:c>
      <x:c r="BF9" s="41" t="n">
        <x:f>IFERROR(BF8/BF7,0)</x:f>
        <x:v>0.38</x:v>
      </x:c>
      <x:c r="BG9" s="41" t="n">
        <x:f>IFERROR(BG8/BG7,0)</x:f>
        <x:v>0.68</x:v>
      </x:c>
      <x:c r="BH9" s="41" t="n">
        <x:f>IFERROR(BH8/BH7,0)</x:f>
        <x:v>0.82</x:v>
      </x:c>
      <x:c r="BI9" s="41" t="n">
        <x:f>IFERROR(BI8/BI7,0)</x:f>
        <x:v>0.82</x:v>
      </x:c>
      <x:c r="BJ9" s="41" t="n">
        <x:f>IFERROR(BJ8/BJ7,0)</x:f>
        <x:v>0.5</x:v>
      </x:c>
    </x:row>
    <x:row r="10">
      <x:c r="A10" s="12" t="str">
        <x:v>稼働</x:v>
      </x:c>
      <x:c r="B10" s="12" t="str">
        <x:v>ADR</x:v>
      </x:c>
      <x:c r="C10" s="40" t="n">
        <x:f>'01_入力ページ'!C11</x:f>
        <x:v>11500</x:v>
      </x:c>
      <x:c r="D10" s="40" t="n">
        <x:f>'01_入力ページ'!D11</x:f>
        <x:v>11500</x:v>
      </x:c>
      <x:c r="E10" s="40" t="n">
        <x:f>'01_入力ページ'!E11</x:f>
        <x:v>11500</x:v>
      </x:c>
      <x:c r="F10" s="40" t="n">
        <x:f>'01_入力ページ'!F11</x:f>
        <x:v>15000</x:v>
      </x:c>
      <x:c r="G10" s="40" t="n">
        <x:f>'01_入力ページ'!G11</x:f>
        <x:v>15000</x:v>
      </x:c>
      <x:c r="H10" s="40" t="n">
        <x:f>'01_入力ページ'!H11</x:f>
        <x:v>11500</x:v>
      </x:c>
      <x:c r="I10" s="40" t="n">
        <x:f>'01_入力ページ'!I11</x:f>
        <x:v>11500</x:v>
      </x:c>
      <x:c r="J10" s="40" t="n">
        <x:f>'01_入力ページ'!J11</x:f>
        <x:v>11500</x:v>
      </x:c>
      <x:c r="K10" s="40" t="n">
        <x:f>'01_入力ページ'!K11</x:f>
        <x:v>15000</x:v>
      </x:c>
      <x:c r="L10" s="40" t="n">
        <x:f>'01_入力ページ'!L11</x:f>
        <x:v>18500</x:v>
      </x:c>
      <x:c r="M10" s="40" t="n">
        <x:f>'01_入力ページ'!M11</x:f>
        <x:v>18500</x:v>
      </x:c>
      <x:c r="N10" s="40" t="n">
        <x:f>'01_入力ページ'!N11</x:f>
        <x:v>11500</x:v>
      </x:c>
      <x:c r="O10" s="40" t="n">
        <x:f>'01_入力ページ'!O11</x:f>
        <x:v>11500</x:v>
      </x:c>
      <x:c r="P10" s="40" t="n">
        <x:f>'01_入力ページ'!P11</x:f>
        <x:v>11500</x:v>
      </x:c>
      <x:c r="Q10" s="40" t="n">
        <x:f>'01_入力ページ'!Q11</x:f>
        <x:v>11500</x:v>
      </x:c>
      <x:c r="R10" s="40" t="n">
        <x:f>'01_入力ページ'!R11</x:f>
        <x:v>15000</x:v>
      </x:c>
      <x:c r="S10" s="40" t="n">
        <x:f>'01_入力ページ'!S11</x:f>
        <x:v>15000</x:v>
      </x:c>
      <x:c r="T10" s="40" t="n">
        <x:f>'01_入力ページ'!T11</x:f>
        <x:v>11500</x:v>
      </x:c>
      <x:c r="U10" s="40" t="n">
        <x:f>'01_入力ページ'!U11</x:f>
        <x:v>11500</x:v>
      </x:c>
      <x:c r="V10" s="40" t="n">
        <x:f>'01_入力ページ'!V11</x:f>
        <x:v>11500</x:v>
      </x:c>
      <x:c r="W10" s="40" t="n">
        <x:f>'01_入力ページ'!W11</x:f>
        <x:v>15000</x:v>
      </x:c>
      <x:c r="X10" s="40" t="n">
        <x:f>'01_入力ページ'!X11</x:f>
        <x:v>18500</x:v>
      </x:c>
      <x:c r="Y10" s="40" t="n">
        <x:f>'01_入力ページ'!Y11</x:f>
        <x:v>18500</x:v>
      </x:c>
      <x:c r="Z10" s="40" t="n">
        <x:f>'01_入力ページ'!Z11</x:f>
        <x:v>11500</x:v>
      </x:c>
      <x:c r="AA10" s="40" t="n">
        <x:f>'01_入力ページ'!AA11</x:f>
        <x:v>11500</x:v>
      </x:c>
      <x:c r="AB10" s="40" t="n">
        <x:f>'01_入力ページ'!AB11</x:f>
        <x:v>11500</x:v>
      </x:c>
      <x:c r="AC10" s="40" t="n">
        <x:f>'01_入力ページ'!AC11</x:f>
        <x:v>11500</x:v>
      </x:c>
      <x:c r="AD10" s="40" t="n">
        <x:f>'01_入力ページ'!AD11</x:f>
        <x:v>15000</x:v>
      </x:c>
      <x:c r="AE10" s="40" t="n">
        <x:f>'01_入力ページ'!AE11</x:f>
        <x:v>15000</x:v>
      </x:c>
      <x:c r="AF10" s="40" t="n">
        <x:f>'01_入力ページ'!AF11</x:f>
        <x:v>11500</x:v>
      </x:c>
      <x:c r="AG10" s="40" t="n">
        <x:f>'01_入力ページ'!AG11</x:f>
        <x:v>11500</x:v>
      </x:c>
      <x:c r="AH10" s="40" t="n">
        <x:f>'01_入力ページ'!AH11</x:f>
        <x:v>11500</x:v>
      </x:c>
      <x:c r="AI10" s="40" t="n">
        <x:f>'01_入力ページ'!AI11</x:f>
        <x:v>15000</x:v>
      </x:c>
      <x:c r="AJ10" s="40" t="n">
        <x:f>'01_入力ページ'!AJ11</x:f>
        <x:v>18500</x:v>
      </x:c>
      <x:c r="AK10" s="40" t="n">
        <x:f>'01_入力ページ'!AK11</x:f>
        <x:v>18500</x:v>
      </x:c>
      <x:c r="AL10" s="40" t="n">
        <x:f>'01_入力ページ'!AL11</x:f>
        <x:v>11500</x:v>
      </x:c>
      <x:c r="AM10" s="40" t="n">
        <x:f>'01_入力ページ'!AM11</x:f>
        <x:v>11500</x:v>
      </x:c>
      <x:c r="AN10" s="40" t="n">
        <x:f>'01_入力ページ'!AN11</x:f>
        <x:v>11500</x:v>
      </x:c>
      <x:c r="AO10" s="40" t="n">
        <x:f>'01_入力ページ'!AO11</x:f>
        <x:v>11500</x:v>
      </x:c>
      <x:c r="AP10" s="40" t="n">
        <x:f>'01_入力ページ'!AP11</x:f>
        <x:v>15000</x:v>
      </x:c>
      <x:c r="AQ10" s="40" t="n">
        <x:f>'01_入力ページ'!AQ11</x:f>
        <x:v>15000</x:v>
      </x:c>
      <x:c r="AR10" s="40" t="n">
        <x:f>'01_入力ページ'!AR11</x:f>
        <x:v>11500</x:v>
      </x:c>
      <x:c r="AS10" s="40" t="n">
        <x:f>'01_入力ページ'!AS11</x:f>
        <x:v>11500</x:v>
      </x:c>
      <x:c r="AT10" s="40" t="n">
        <x:f>'01_入力ページ'!AT11</x:f>
        <x:v>11500</x:v>
      </x:c>
      <x:c r="AU10" s="40" t="n">
        <x:f>'01_入力ページ'!AU11</x:f>
        <x:v>15000</x:v>
      </x:c>
      <x:c r="AV10" s="40" t="n">
        <x:f>'01_入力ページ'!AV11</x:f>
        <x:v>18500</x:v>
      </x:c>
      <x:c r="AW10" s="40" t="n">
        <x:f>'01_入力ページ'!AW11</x:f>
        <x:v>18500</x:v>
      </x:c>
      <x:c r="AX10" s="40" t="n">
        <x:f>'01_入力ページ'!AX11</x:f>
        <x:v>11500</x:v>
      </x:c>
      <x:c r="AY10" s="40" t="n">
        <x:f>'01_入力ページ'!AY11</x:f>
        <x:v>11500</x:v>
      </x:c>
      <x:c r="AZ10" s="40" t="n">
        <x:f>'01_入力ページ'!AZ11</x:f>
        <x:v>11500</x:v>
      </x:c>
      <x:c r="BA10" s="40" t="n">
        <x:f>'01_入力ページ'!BA11</x:f>
        <x:v>11500</x:v>
      </x:c>
      <x:c r="BB10" s="40" t="n">
        <x:f>'01_入力ページ'!BB11</x:f>
        <x:v>15000</x:v>
      </x:c>
      <x:c r="BC10" s="40" t="n">
        <x:f>'01_入力ページ'!BC11</x:f>
        <x:v>15000</x:v>
      </x:c>
      <x:c r="BD10" s="40" t="n">
        <x:f>'01_入力ページ'!BD11</x:f>
        <x:v>11500</x:v>
      </x:c>
      <x:c r="BE10" s="40" t="n">
        <x:f>'01_入力ページ'!BE11</x:f>
        <x:v>11500</x:v>
      </x:c>
      <x:c r="BF10" s="40" t="n">
        <x:f>'01_入力ページ'!BF11</x:f>
        <x:v>11500</x:v>
      </x:c>
      <x:c r="BG10" s="40" t="n">
        <x:f>'01_入力ページ'!BG11</x:f>
        <x:v>15000</x:v>
      </x:c>
      <x:c r="BH10" s="40" t="n">
        <x:f>'01_入力ページ'!BH11</x:f>
        <x:v>18500</x:v>
      </x:c>
      <x:c r="BI10" s="40" t="n">
        <x:f>'01_入力ページ'!BI11</x:f>
        <x:v>18500</x:v>
      </x:c>
      <x:c r="BJ10" s="40" t="n">
        <x:f>'01_入力ページ'!BJ11</x:f>
        <x:v>11500</x:v>
      </x:c>
    </x:row>
    <x:row r="11">
      <x:c r="A11" s="12" t="str">
        <x:v>稼働</x:v>
      </x:c>
      <x:c r="B11" s="12" t="str">
        <x:v>RevPAR</x:v>
      </x:c>
      <x:c r="C11" s="40" t="n">
        <x:f>IFERROR('06_PL'!C6*1000/C7,0)</x:f>
        <x:v>4370</x:v>
      </x:c>
      <x:c r="D11" s="40" t="n">
        <x:f>IFERROR('06_PL'!D6*1000/D7,0)</x:f>
        <x:v>4370</x:v>
      </x:c>
      <x:c r="E11" s="40" t="n">
        <x:f>IFERROR('06_PL'!E6*1000/E7,0)</x:f>
        <x:v>4370</x:v>
      </x:c>
      <x:c r="F11" s="40" t="n">
        <x:f>IFERROR('06_PL'!F6*1000/F7,0)</x:f>
        <x:v>10200.000000000002</x:v>
      </x:c>
      <x:c r="G11" s="40" t="n">
        <x:f>IFERROR('06_PL'!G6*1000/G7,0)</x:f>
        <x:v>10200.000000000002</x:v>
      </x:c>
      <x:c r="H11" s="40" t="n">
        <x:f>IFERROR('06_PL'!H6*1000/H7,0)</x:f>
        <x:v>4370</x:v>
      </x:c>
      <x:c r="I11" s="40" t="n">
        <x:f>IFERROR('06_PL'!I6*1000/I7,0)</x:f>
        <x:v>4370</x:v>
      </x:c>
      <x:c r="J11" s="40" t="n">
        <x:f>IFERROR('06_PL'!J6*1000/J7,0)</x:f>
        <x:v>4370</x:v>
      </x:c>
      <x:c r="K11" s="40" t="n">
        <x:f>IFERROR('06_PL'!K6*1000/K7,0)</x:f>
        <x:v>10200.000000000002</x:v>
      </x:c>
      <x:c r="L11" s="40" t="n">
        <x:f>IFERROR('06_PL'!L6*1000/L7,0)</x:f>
        <x:v>15170</x:v>
      </x:c>
      <x:c r="M11" s="40" t="n">
        <x:f>IFERROR('06_PL'!M6*1000/M7,0)</x:f>
        <x:v>15169.999999999998</x:v>
      </x:c>
      <x:c r="N11" s="40" t="n">
        <x:f>IFERROR('06_PL'!N6*1000/N7,0)</x:f>
        <x:v>5750</x:v>
      </x:c>
      <x:c r="O11" s="40" t="n">
        <x:f>IFERROR('06_PL'!O6*1000/O7,0)</x:f>
        <x:v>4370</x:v>
      </x:c>
      <x:c r="P11" s="40" t="n">
        <x:f>IFERROR('06_PL'!P6*1000/P7,0)</x:f>
        <x:v>4370</x:v>
      </x:c>
      <x:c r="Q11" s="40" t="n">
        <x:f>IFERROR('06_PL'!Q6*1000/Q7,0)</x:f>
        <x:v>4370</x:v>
      </x:c>
      <x:c r="R11" s="40" t="n">
        <x:f>IFERROR('06_PL'!R6*1000/R7,0)</x:f>
        <x:v>10200.000000000002</x:v>
      </x:c>
      <x:c r="S11" s="40" t="n">
        <x:f>IFERROR('06_PL'!S6*1000/S7,0)</x:f>
        <x:v>10200.000000000002</x:v>
      </x:c>
      <x:c r="T11" s="40" t="n">
        <x:f>IFERROR('06_PL'!T6*1000/T7,0)</x:f>
        <x:v>4370</x:v>
      </x:c>
      <x:c r="U11" s="40" t="n">
        <x:f>IFERROR('06_PL'!U6*1000/U7,0)</x:f>
        <x:v>4370</x:v>
      </x:c>
      <x:c r="V11" s="40" t="n">
        <x:f>IFERROR('06_PL'!V6*1000/V7,0)</x:f>
        <x:v>4370</x:v>
      </x:c>
      <x:c r="W11" s="40" t="n">
        <x:f>IFERROR('06_PL'!W6*1000/W7,0)</x:f>
        <x:v>10200.000000000002</x:v>
      </x:c>
      <x:c r="X11" s="40" t="n">
        <x:f>IFERROR('06_PL'!X6*1000/X7,0)</x:f>
        <x:v>15170</x:v>
      </x:c>
      <x:c r="Y11" s="40" t="n">
        <x:f>IFERROR('06_PL'!Y6*1000/Y7,0)</x:f>
        <x:v>15170</x:v>
      </x:c>
      <x:c r="Z11" s="40" t="n">
        <x:f>IFERROR('06_PL'!Z6*1000/Z7,0)</x:f>
        <x:v>5750</x:v>
      </x:c>
      <x:c r="AA11" s="40" t="n">
        <x:f>IFERROR('06_PL'!AA6*1000/AA7,0)</x:f>
        <x:v>4370</x:v>
      </x:c>
      <x:c r="AB11" s="40" t="n">
        <x:f>IFERROR('06_PL'!AB6*1000/AB7,0)</x:f>
        <x:v>4370</x:v>
      </x:c>
      <x:c r="AC11" s="40" t="n">
        <x:f>IFERROR('06_PL'!AC6*1000/AC7,0)</x:f>
        <x:v>4370</x:v>
      </x:c>
      <x:c r="AD11" s="40" t="n">
        <x:f>IFERROR('06_PL'!AD6*1000/AD7,0)</x:f>
        <x:v>10200.000000000002</x:v>
      </x:c>
      <x:c r="AE11" s="40" t="n">
        <x:f>IFERROR('06_PL'!AE6*1000/AE7,0)</x:f>
        <x:v>10200.000000000002</x:v>
      </x:c>
      <x:c r="AF11" s="40" t="n">
        <x:f>IFERROR('06_PL'!AF6*1000/AF7,0)</x:f>
        <x:v>4370</x:v>
      </x:c>
      <x:c r="AG11" s="40" t="n">
        <x:f>IFERROR('06_PL'!AG6*1000/AG7,0)</x:f>
        <x:v>4370</x:v>
      </x:c>
      <x:c r="AH11" s="40" t="n">
        <x:f>IFERROR('06_PL'!AH6*1000/AH7,0)</x:f>
        <x:v>4370</x:v>
      </x:c>
      <x:c r="AI11" s="40" t="n">
        <x:f>IFERROR('06_PL'!AI6*1000/AI7,0)</x:f>
        <x:v>10200.000000000002</x:v>
      </x:c>
      <x:c r="AJ11" s="40" t="n">
        <x:f>IFERROR('06_PL'!AJ6*1000/AJ7,0)</x:f>
        <x:v>15170</x:v>
      </x:c>
      <x:c r="AK11" s="40" t="n">
        <x:f>IFERROR('06_PL'!AK6*1000/AK7,0)</x:f>
        <x:v>15169.999999999998</x:v>
      </x:c>
      <x:c r="AL11" s="40" t="n">
        <x:f>IFERROR('06_PL'!AL6*1000/AL7,0)</x:f>
        <x:v>5750</x:v>
      </x:c>
      <x:c r="AM11" s="40" t="n">
        <x:f>IFERROR('06_PL'!AM6*1000/AM7,0)</x:f>
        <x:v>4370</x:v>
      </x:c>
      <x:c r="AN11" s="40" t="n">
        <x:f>IFERROR('06_PL'!AN6*1000/AN7,0)</x:f>
        <x:v>4370</x:v>
      </x:c>
      <x:c r="AO11" s="40" t="n">
        <x:f>IFERROR('06_PL'!AO6*1000/AO7,0)</x:f>
        <x:v>4370</x:v>
      </x:c>
      <x:c r="AP11" s="40" t="n">
        <x:f>IFERROR('06_PL'!AP6*1000/AP7,0)</x:f>
        <x:v>10200.000000000002</x:v>
      </x:c>
      <x:c r="AQ11" s="40" t="n">
        <x:f>IFERROR('06_PL'!AQ6*1000/AQ7,0)</x:f>
        <x:v>10200.000000000002</x:v>
      </x:c>
      <x:c r="AR11" s="40" t="n">
        <x:f>IFERROR('06_PL'!AR6*1000/AR7,0)</x:f>
        <x:v>4370</x:v>
      </x:c>
      <x:c r="AS11" s="40" t="n">
        <x:f>IFERROR('06_PL'!AS6*1000/AS7,0)</x:f>
        <x:v>4370</x:v>
      </x:c>
      <x:c r="AT11" s="40" t="n">
        <x:f>IFERROR('06_PL'!AT6*1000/AT7,0)</x:f>
        <x:v>4370</x:v>
      </x:c>
      <x:c r="AU11" s="40" t="n">
        <x:f>IFERROR('06_PL'!AU6*1000/AU7,0)</x:f>
        <x:v>10200.000000000002</x:v>
      </x:c>
      <x:c r="AV11" s="40" t="n">
        <x:f>IFERROR('06_PL'!AV6*1000/AV7,0)</x:f>
        <x:v>15170</x:v>
      </x:c>
      <x:c r="AW11" s="40" t="n">
        <x:f>IFERROR('06_PL'!AW6*1000/AW7,0)</x:f>
        <x:v>15169.999999999998</x:v>
      </x:c>
      <x:c r="AX11" s="40" t="n">
        <x:f>IFERROR('06_PL'!AX6*1000/AX7,0)</x:f>
        <x:v>5750</x:v>
      </x:c>
      <x:c r="AY11" s="40" t="n">
        <x:f>IFERROR('06_PL'!AY6*1000/AY7,0)</x:f>
        <x:v>4370</x:v>
      </x:c>
      <x:c r="AZ11" s="40" t="n">
        <x:f>IFERROR('06_PL'!AZ6*1000/AZ7,0)</x:f>
        <x:v>4370</x:v>
      </x:c>
      <x:c r="BA11" s="40" t="n">
        <x:f>IFERROR('06_PL'!BA6*1000/BA7,0)</x:f>
        <x:v>4370</x:v>
      </x:c>
      <x:c r="BB11" s="40" t="n">
        <x:f>IFERROR('06_PL'!BB6*1000/BB7,0)</x:f>
        <x:v>10200.000000000002</x:v>
      </x:c>
      <x:c r="BC11" s="40" t="n">
        <x:f>IFERROR('06_PL'!BC6*1000/BC7,0)</x:f>
        <x:v>10200.000000000002</x:v>
      </x:c>
      <x:c r="BD11" s="40" t="n">
        <x:f>IFERROR('06_PL'!BD6*1000/BD7,0)</x:f>
        <x:v>4370</x:v>
      </x:c>
      <x:c r="BE11" s="40" t="n">
        <x:f>IFERROR('06_PL'!BE6*1000/BE7,0)</x:f>
        <x:v>4370</x:v>
      </x:c>
      <x:c r="BF11" s="40" t="n">
        <x:f>IFERROR('06_PL'!BF6*1000/BF7,0)</x:f>
        <x:v>4370</x:v>
      </x:c>
      <x:c r="BG11" s="40" t="n">
        <x:f>IFERROR('06_PL'!BG6*1000/BG7,0)</x:f>
        <x:v>10200.000000000002</x:v>
      </x:c>
      <x:c r="BH11" s="40" t="n">
        <x:f>IFERROR('06_PL'!BH6*1000/BH7,0)</x:f>
        <x:v>15170</x:v>
      </x:c>
      <x:c r="BI11" s="40" t="n">
        <x:f>IFERROR('06_PL'!BI6*1000/BI7,0)</x:f>
        <x:v>15169.999999999998</x:v>
      </x:c>
      <x:c r="BJ11" s="40" t="n">
        <x:f>IFERROR('06_PL'!BJ6*1000/BJ7,0)</x:f>
        <x:v>5750</x:v>
      </x:c>
    </x:row>
    <x:row r="12">
      <x:c r="A12" s="12" t="str">
        <x:v>収益性</x:v>
      </x:c>
      <x:c r="B12" s="12" t="str">
        <x:v>売上高</x:v>
      </x:c>
      <x:c r="C12" s="40" t="n">
        <x:f>'06_PL'!C8</x:f>
        <x:v>2490.9</x:v>
      </x:c>
      <x:c r="D12" s="40" t="n">
        <x:f>'06_PL'!D8</x:f>
        <x:v>2573.93</x:v>
      </x:c>
      <x:c r="E12" s="40" t="n">
        <x:f>'06_PL'!E8</x:f>
        <x:v>2490.9</x:v>
      </x:c>
      <x:c r="F12" s="40" t="n">
        <x:f>'06_PL'!F8</x:f>
        <x:v>6007.800000000001</x:v>
      </x:c>
      <x:c r="G12" s="40" t="n">
        <x:f>'06_PL'!G8</x:f>
        <x:v>6007.800000000001</x:v>
      </x:c>
      <x:c r="H12" s="40" t="n">
        <x:f>'06_PL'!H8</x:f>
        <x:v>2490.9</x:v>
      </x:c>
      <x:c r="I12" s="40" t="n">
        <x:f>'06_PL'!I8</x:f>
        <x:v>2573.93</x:v>
      </x:c>
      <x:c r="J12" s="40" t="n">
        <x:f>'06_PL'!J8</x:f>
        <x:v>2490.9</x:v>
      </x:c>
      <x:c r="K12" s="40" t="n">
        <x:f>'06_PL'!K8</x:f>
        <x:v>6007.800000000001</x:v>
      </x:c>
      <x:c r="L12" s="40" t="n">
        <x:f>'06_PL'!L8</x:f>
        <x:v>8935.13</x:v>
      </x:c>
      <x:c r="M12" s="40" t="n">
        <x:f>'06_PL'!M8</x:f>
        <x:v>8070.439999999999</x:v>
      </x:c>
      <x:c r="N12" s="40" t="n">
        <x:f>'06_PL'!N8</x:f>
        <x:v>3386.75</x:v>
      </x:c>
      <x:c r="O12" s="40" t="n">
        <x:f>'06_PL'!O8</x:f>
        <x:v>2490.9</x:v>
      </x:c>
      <x:c r="P12" s="40" t="n">
        <x:f>'06_PL'!P8</x:f>
        <x:v>2573.93</x:v>
      </x:c>
      <x:c r="Q12" s="40" t="n">
        <x:f>'06_PL'!Q8</x:f>
        <x:v>2490.9</x:v>
      </x:c>
      <x:c r="R12" s="40" t="n">
        <x:f>'06_PL'!R8</x:f>
        <x:v>6007.800000000001</x:v>
      </x:c>
      <x:c r="S12" s="40" t="n">
        <x:f>'06_PL'!S8</x:f>
        <x:v>6007.800000000001</x:v>
      </x:c>
      <x:c r="T12" s="40" t="n">
        <x:f>'06_PL'!T8</x:f>
        <x:v>2490.9</x:v>
      </x:c>
      <x:c r="U12" s="40" t="n">
        <x:f>'06_PL'!U8</x:f>
        <x:v>2573.93</x:v>
      </x:c>
      <x:c r="V12" s="40" t="n">
        <x:f>'06_PL'!V8</x:f>
        <x:v>2490.9</x:v>
      </x:c>
      <x:c r="W12" s="40" t="n">
        <x:f>'06_PL'!W8</x:f>
        <x:v>6007.800000000001</x:v>
      </x:c>
      <x:c r="X12" s="40" t="n">
        <x:f>'06_PL'!X8</x:f>
        <x:v>8935.13</x:v>
      </x:c>
      <x:c r="Y12" s="40" t="n">
        <x:f>'06_PL'!Y8</x:f>
        <x:v>8358.67</x:v>
      </x:c>
      <x:c r="Z12" s="40" t="n">
        <x:f>'06_PL'!Z8</x:f>
        <x:v>3386.75</x:v>
      </x:c>
      <x:c r="AA12" s="40" t="n">
        <x:f>'06_PL'!AA8</x:f>
        <x:v>2490.9</x:v>
      </x:c>
      <x:c r="AB12" s="40" t="n">
        <x:f>'06_PL'!AB8</x:f>
        <x:v>2573.93</x:v>
      </x:c>
      <x:c r="AC12" s="40" t="n">
        <x:f>'06_PL'!AC8</x:f>
        <x:v>2490.9</x:v>
      </x:c>
      <x:c r="AD12" s="40" t="n">
        <x:f>'06_PL'!AD8</x:f>
        <x:v>6007.800000000001</x:v>
      </x:c>
      <x:c r="AE12" s="40" t="n">
        <x:f>'06_PL'!AE8</x:f>
        <x:v>6007.800000000001</x:v>
      </x:c>
      <x:c r="AF12" s="40" t="n">
        <x:f>'06_PL'!AF8</x:f>
        <x:v>2490.9</x:v>
      </x:c>
      <x:c r="AG12" s="40" t="n">
        <x:f>'06_PL'!AG8</x:f>
        <x:v>2573.93</x:v>
      </x:c>
      <x:c r="AH12" s="40" t="n">
        <x:f>'06_PL'!AH8</x:f>
        <x:v>2490.9</x:v>
      </x:c>
      <x:c r="AI12" s="40" t="n">
        <x:f>'06_PL'!AI8</x:f>
        <x:v>6007.800000000001</x:v>
      </x:c>
      <x:c r="AJ12" s="40" t="n">
        <x:f>'06_PL'!AJ8</x:f>
        <x:v>8935.13</x:v>
      </x:c>
      <x:c r="AK12" s="40" t="n">
        <x:f>'06_PL'!AK8</x:f>
        <x:v>8070.439999999999</x:v>
      </x:c>
      <x:c r="AL12" s="40" t="n">
        <x:f>'06_PL'!AL8</x:f>
        <x:v>3386.75</x:v>
      </x:c>
      <x:c r="AM12" s="40" t="n">
        <x:f>'06_PL'!AM8</x:f>
        <x:v>2490.9</x:v>
      </x:c>
      <x:c r="AN12" s="40" t="n">
        <x:f>'06_PL'!AN8</x:f>
        <x:v>2573.93</x:v>
      </x:c>
      <x:c r="AO12" s="40" t="n">
        <x:f>'06_PL'!AO8</x:f>
        <x:v>2490.9</x:v>
      </x:c>
      <x:c r="AP12" s="40" t="n">
        <x:f>'06_PL'!AP8</x:f>
        <x:v>6007.800000000001</x:v>
      </x:c>
      <x:c r="AQ12" s="40" t="n">
        <x:f>'06_PL'!AQ8</x:f>
        <x:v>6007.800000000001</x:v>
      </x:c>
      <x:c r="AR12" s="40" t="n">
        <x:f>'06_PL'!AR8</x:f>
        <x:v>2490.9</x:v>
      </x:c>
      <x:c r="AS12" s="40" t="n">
        <x:f>'06_PL'!AS8</x:f>
        <x:v>2573.93</x:v>
      </x:c>
      <x:c r="AT12" s="40" t="n">
        <x:f>'06_PL'!AT8</x:f>
        <x:v>2490.9</x:v>
      </x:c>
      <x:c r="AU12" s="40" t="n">
        <x:f>'06_PL'!AU8</x:f>
        <x:v>6007.800000000001</x:v>
      </x:c>
      <x:c r="AV12" s="40" t="n">
        <x:f>'06_PL'!AV8</x:f>
        <x:v>8935.13</x:v>
      </x:c>
      <x:c r="AW12" s="40" t="n">
        <x:f>'06_PL'!AW8</x:f>
        <x:v>8070.439999999999</x:v>
      </x:c>
      <x:c r="AX12" s="40" t="n">
        <x:f>'06_PL'!AX8</x:f>
        <x:v>3386.75</x:v>
      </x:c>
      <x:c r="AY12" s="40" t="n">
        <x:f>'06_PL'!AY8</x:f>
        <x:v>2490.9</x:v>
      </x:c>
      <x:c r="AZ12" s="40" t="n">
        <x:f>'06_PL'!AZ8</x:f>
        <x:v>2573.93</x:v>
      </x:c>
      <x:c r="BA12" s="40" t="n">
        <x:f>'06_PL'!BA8</x:f>
        <x:v>2490.9</x:v>
      </x:c>
      <x:c r="BB12" s="40" t="n">
        <x:f>'06_PL'!BB8</x:f>
        <x:v>6007.800000000001</x:v>
      </x:c>
      <x:c r="BC12" s="40" t="n">
        <x:f>'06_PL'!BC8</x:f>
        <x:v>6007.800000000001</x:v>
      </x:c>
      <x:c r="BD12" s="40" t="n">
        <x:f>'06_PL'!BD8</x:f>
        <x:v>2490.9</x:v>
      </x:c>
      <x:c r="BE12" s="40" t="n">
        <x:f>'06_PL'!BE8</x:f>
        <x:v>2573.93</x:v>
      </x:c>
      <x:c r="BF12" s="40" t="n">
        <x:f>'06_PL'!BF8</x:f>
        <x:v>2490.9</x:v>
      </x:c>
      <x:c r="BG12" s="40" t="n">
        <x:f>'06_PL'!BG8</x:f>
        <x:v>6007.800000000001</x:v>
      </x:c>
      <x:c r="BH12" s="40" t="n">
        <x:f>'06_PL'!BH8</x:f>
        <x:v>8935.13</x:v>
      </x:c>
      <x:c r="BI12" s="40" t="n">
        <x:f>'06_PL'!BI8</x:f>
        <x:v>8070.439999999999</x:v>
      </x:c>
      <x:c r="BJ12" s="40" t="n">
        <x:f>'06_PL'!BJ8</x:f>
        <x:v>3386.75</x:v>
      </x:c>
    </x:row>
    <x:row r="13">
      <x:c r="A13" s="12" t="str">
        <x:v>収益性</x:v>
      </x:c>
      <x:c r="B13" s="12" t="str">
        <x:v>GOP before MC</x:v>
      </x:c>
      <x:c r="C13" s="40" t="n">
        <x:f>'06_PL'!C25</x:f>
        <x:v>248.2550000000001</x:v>
      </x:c>
      <x:c r="D13" s="40" t="n">
        <x:f>'06_PL'!D25</x:f>
        <x:v>265.8634999999998</x:v>
      </x:c>
      <x:c r="E13" s="40" t="n">
        <x:f>'06_PL'!E25</x:f>
        <x:v>248.2550000000001</x:v>
      </x:c>
      <x:c r="F13" s="40" t="n">
        <x:f>'06_PL'!F25</x:f>
        <x:v>2629.226000000001</x:v>
      </x:c>
      <x:c r="G13" s="40" t="n">
        <x:f>'06_PL'!G25</x:f>
        <x:v>2629.226000000001</x:v>
      </x:c>
      <x:c r="H13" s="40" t="n">
        <x:f>'06_PL'!H25</x:f>
        <x:v>248.2550000000001</x:v>
      </x:c>
      <x:c r="I13" s="40" t="n">
        <x:f>'06_PL'!I25</x:f>
        <x:v>265.8634999999998</x:v>
      </x:c>
      <x:c r="J13" s="40" t="n">
        <x:f>'06_PL'!J25</x:f>
        <x:v>248.2550000000001</x:v>
      </x:c>
      <x:c r="K13" s="40" t="n">
        <x:f>'06_PL'!K25</x:f>
        <x:v>2629.226000000001</x:v>
      </x:c>
      <x:c r="L13" s="40" t="n">
        <x:f>'06_PL'!L25</x:f>
        <x:v>4725.7715</x:v>
      </x:c>
      <x:c r="M13" s="40" t="n">
        <x:f>'06_PL'!M25</x:f>
        <x:v>4241.341999999999</x:v>
      </x:c>
      <x:c r="N13" s="40" t="n">
        <x:f>'06_PL'!N25</x:f>
        <x:v>790.6625000000001</x:v>
      </x:c>
      <x:c r="O13" s="40" t="n">
        <x:f>'06_PL'!O25</x:f>
        <x:v>248.2550000000001</x:v>
      </x:c>
      <x:c r="P13" s="40" t="n">
        <x:f>'06_PL'!P25</x:f>
        <x:v>265.8634999999998</x:v>
      </x:c>
      <x:c r="Q13" s="40" t="n">
        <x:f>'06_PL'!Q25</x:f>
        <x:v>248.2550000000001</x:v>
      </x:c>
      <x:c r="R13" s="40" t="n">
        <x:f>'06_PL'!R25</x:f>
        <x:v>2629.226000000001</x:v>
      </x:c>
      <x:c r="S13" s="40" t="n">
        <x:f>'06_PL'!S25</x:f>
        <x:v>2629.226000000001</x:v>
      </x:c>
      <x:c r="T13" s="40" t="n">
        <x:f>'06_PL'!T25</x:f>
        <x:v>248.2550000000001</x:v>
      </x:c>
      <x:c r="U13" s="40" t="n">
        <x:f>'06_PL'!U25</x:f>
        <x:v>265.8634999999998</x:v>
      </x:c>
      <x:c r="V13" s="40" t="n">
        <x:f>'06_PL'!V25</x:f>
        <x:v>248.2550000000001</x:v>
      </x:c>
      <x:c r="W13" s="40" t="n">
        <x:f>'06_PL'!W25</x:f>
        <x:v>2629.226000000001</x:v>
      </x:c>
      <x:c r="X13" s="40" t="n">
        <x:f>'06_PL'!X25</x:f>
        <x:v>4725.7715</x:v>
      </x:c>
      <x:c r="Y13" s="40" t="n">
        <x:f>'06_PL'!Y25</x:f>
        <x:v>4402.818499999999</x:v>
      </x:c>
      <x:c r="Z13" s="40" t="n">
        <x:f>'06_PL'!Z25</x:f>
        <x:v>790.6625000000001</x:v>
      </x:c>
      <x:c r="AA13" s="40" t="n">
        <x:f>'06_PL'!AA25</x:f>
        <x:v>248.2550000000001</x:v>
      </x:c>
      <x:c r="AB13" s="40" t="n">
        <x:f>'06_PL'!AB25</x:f>
        <x:v>265.8634999999998</x:v>
      </x:c>
      <x:c r="AC13" s="40" t="n">
        <x:f>'06_PL'!AC25</x:f>
        <x:v>248.2550000000001</x:v>
      </x:c>
      <x:c r="AD13" s="40" t="n">
        <x:f>'06_PL'!AD25</x:f>
        <x:v>2629.226000000001</x:v>
      </x:c>
      <x:c r="AE13" s="40" t="n">
        <x:f>'06_PL'!AE25</x:f>
        <x:v>2629.226000000001</x:v>
      </x:c>
      <x:c r="AF13" s="40" t="n">
        <x:f>'06_PL'!AF25</x:f>
        <x:v>248.2550000000001</x:v>
      </x:c>
      <x:c r="AG13" s="40" t="n">
        <x:f>'06_PL'!AG25</x:f>
        <x:v>265.8634999999998</x:v>
      </x:c>
      <x:c r="AH13" s="40" t="n">
        <x:f>'06_PL'!AH25</x:f>
        <x:v>248.2550000000001</x:v>
      </x:c>
      <x:c r="AI13" s="40" t="n">
        <x:f>'06_PL'!AI25</x:f>
        <x:v>2629.226000000001</x:v>
      </x:c>
      <x:c r="AJ13" s="40" t="n">
        <x:f>'06_PL'!AJ25</x:f>
        <x:v>4725.7715</x:v>
      </x:c>
      <x:c r="AK13" s="40" t="n">
        <x:f>'06_PL'!AK25</x:f>
        <x:v>4241.341999999999</x:v>
      </x:c>
      <x:c r="AL13" s="40" t="n">
        <x:f>'06_PL'!AL25</x:f>
        <x:v>790.6625000000001</x:v>
      </x:c>
      <x:c r="AM13" s="40" t="n">
        <x:f>'06_PL'!AM25</x:f>
        <x:v>248.2550000000001</x:v>
      </x:c>
      <x:c r="AN13" s="40" t="n">
        <x:f>'06_PL'!AN25</x:f>
        <x:v>265.8634999999998</x:v>
      </x:c>
      <x:c r="AO13" s="40" t="n">
        <x:f>'06_PL'!AO25</x:f>
        <x:v>248.2550000000001</x:v>
      </x:c>
      <x:c r="AP13" s="40" t="n">
        <x:f>'06_PL'!AP25</x:f>
        <x:v>2629.226000000001</x:v>
      </x:c>
      <x:c r="AQ13" s="40" t="n">
        <x:f>'06_PL'!AQ25</x:f>
        <x:v>2629.226000000001</x:v>
      </x:c>
      <x:c r="AR13" s="40" t="n">
        <x:f>'06_PL'!AR25</x:f>
        <x:v>248.2550000000001</x:v>
      </x:c>
      <x:c r="AS13" s="40" t="n">
        <x:f>'06_PL'!AS25</x:f>
        <x:v>265.8634999999998</x:v>
      </x:c>
      <x:c r="AT13" s="40" t="n">
        <x:f>'06_PL'!AT25</x:f>
        <x:v>248.2550000000001</x:v>
      </x:c>
      <x:c r="AU13" s="40" t="n">
        <x:f>'06_PL'!AU25</x:f>
        <x:v>2629.226000000001</x:v>
      </x:c>
      <x:c r="AV13" s="40" t="n">
        <x:f>'06_PL'!AV25</x:f>
        <x:v>4725.7715</x:v>
      </x:c>
      <x:c r="AW13" s="40" t="n">
        <x:f>'06_PL'!AW25</x:f>
        <x:v>4241.341999999999</x:v>
      </x:c>
      <x:c r="AX13" s="40" t="n">
        <x:f>'06_PL'!AX25</x:f>
        <x:v>790.6625000000001</x:v>
      </x:c>
      <x:c r="AY13" s="40" t="n">
        <x:f>'06_PL'!AY25</x:f>
        <x:v>248.2550000000001</x:v>
      </x:c>
      <x:c r="AZ13" s="40" t="n">
        <x:f>'06_PL'!AZ25</x:f>
        <x:v>265.8634999999998</x:v>
      </x:c>
      <x:c r="BA13" s="40" t="n">
        <x:f>'06_PL'!BA25</x:f>
        <x:v>248.2550000000001</x:v>
      </x:c>
      <x:c r="BB13" s="40" t="n">
        <x:f>'06_PL'!BB25</x:f>
        <x:v>2629.226000000001</x:v>
      </x:c>
      <x:c r="BC13" s="40" t="n">
        <x:f>'06_PL'!BC25</x:f>
        <x:v>2629.226000000001</x:v>
      </x:c>
      <x:c r="BD13" s="40" t="n">
        <x:f>'06_PL'!BD25</x:f>
        <x:v>248.2550000000001</x:v>
      </x:c>
      <x:c r="BE13" s="40" t="n">
        <x:f>'06_PL'!BE25</x:f>
        <x:v>265.8634999999998</x:v>
      </x:c>
      <x:c r="BF13" s="40" t="n">
        <x:f>'06_PL'!BF25</x:f>
        <x:v>248.2550000000001</x:v>
      </x:c>
      <x:c r="BG13" s="40" t="n">
        <x:f>'06_PL'!BG25</x:f>
        <x:v>2629.226000000001</x:v>
      </x:c>
      <x:c r="BH13" s="40" t="n">
        <x:f>'06_PL'!BH25</x:f>
        <x:v>4725.7715</x:v>
      </x:c>
      <x:c r="BI13" s="40" t="n">
        <x:f>'06_PL'!BI25</x:f>
        <x:v>4241.341999999999</x:v>
      </x:c>
      <x:c r="BJ13" s="40" t="n">
        <x:f>'06_PL'!BJ25</x:f>
        <x:v>790.6625000000001</x:v>
      </x:c>
    </x:row>
    <x:row r="14">
      <x:c r="A14" s="12" t="str">
        <x:v>収益性</x:v>
      </x:c>
      <x:c r="B14" s="12" t="str">
        <x:v>GOP after MC / EBITDA</x:v>
      </x:c>
      <x:c r="C14" s="40" t="n">
        <x:f>'06_PL'!C29</x:f>
        <x:v>61.01675000000009</x:v>
      </x:c>
      <x:c r="D14" s="40" t="n">
        <x:f>'06_PL'!D29</x:f>
        <x:v>75.98397499999984</x:v>
      </x:c>
      <x:c r="E14" s="40" t="n">
        <x:f>'06_PL'!E29</x:f>
        <x:v>61.01675000000009</x:v>
      </x:c>
      <x:c r="F14" s="40" t="n">
        <x:f>'06_PL'!F29</x:f>
        <x:v>2084.8421000000008</x:v>
      </x:c>
      <x:c r="G14" s="40" t="n">
        <x:f>'06_PL'!G29</x:f>
        <x:v>2084.8421000000008</x:v>
      </x:c>
      <x:c r="H14" s="40" t="n">
        <x:f>'06_PL'!H29</x:f>
        <x:v>61.01675000000009</x:v>
      </x:c>
      <x:c r="I14" s="40" t="n">
        <x:f>'06_PL'!I29</x:f>
        <x:v>75.98397499999984</x:v>
      </x:c>
      <x:c r="J14" s="40" t="n">
        <x:f>'06_PL'!J29</x:f>
        <x:v>61.01675000000009</x:v>
      </x:c>
      <x:c r="K14" s="40" t="n">
        <x:f>'06_PL'!K29</x:f>
        <x:v>2084.8421000000008</x:v>
      </x:c>
      <x:c r="L14" s="40" t="n">
        <x:f>'06_PL'!L29</x:f>
        <x:v>3866.9057749999997</x:v>
      </x:c>
      <x:c r="M14" s="40" t="n">
        <x:f>'06_PL'!M29</x:f>
        <x:v>3455.140699999999</x:v>
      </x:c>
      <x:c r="N14" s="40" t="n">
        <x:f>'06_PL'!N29</x:f>
        <x:v>522.0631250000001</x:v>
      </x:c>
      <x:c r="O14" s="40" t="n">
        <x:f>'06_PL'!O29</x:f>
        <x:v>61.01675000000009</x:v>
      </x:c>
      <x:c r="P14" s="40" t="n">
        <x:f>'06_PL'!P29</x:f>
        <x:v>75.98397499999984</x:v>
      </x:c>
      <x:c r="Q14" s="40" t="n">
        <x:f>'06_PL'!Q29</x:f>
        <x:v>61.01675000000009</x:v>
      </x:c>
      <x:c r="R14" s="40" t="n">
        <x:f>'06_PL'!R29</x:f>
        <x:v>2084.8421000000008</x:v>
      </x:c>
      <x:c r="S14" s="40" t="n">
        <x:f>'06_PL'!S29</x:f>
        <x:v>2084.8421000000008</x:v>
      </x:c>
      <x:c r="T14" s="40" t="n">
        <x:f>'06_PL'!T29</x:f>
        <x:v>61.01675000000009</x:v>
      </x:c>
      <x:c r="U14" s="40" t="n">
        <x:f>'06_PL'!U29</x:f>
        <x:v>75.98397499999984</x:v>
      </x:c>
      <x:c r="V14" s="40" t="n">
        <x:f>'06_PL'!V29</x:f>
        <x:v>61.01675000000009</x:v>
      </x:c>
      <x:c r="W14" s="40" t="n">
        <x:f>'06_PL'!W29</x:f>
        <x:v>2084.8421000000008</x:v>
      </x:c>
      <x:c r="X14" s="40" t="n">
        <x:f>'06_PL'!X29</x:f>
        <x:v>3866.9057749999997</x:v>
      </x:c>
      <x:c r="Y14" s="40" t="n">
        <x:f>'06_PL'!Y29</x:f>
        <x:v>3592.3957249999994</x:v>
      </x:c>
      <x:c r="Z14" s="40" t="n">
        <x:f>'06_PL'!Z29</x:f>
        <x:v>522.0631250000001</x:v>
      </x:c>
      <x:c r="AA14" s="40" t="n">
        <x:f>'06_PL'!AA29</x:f>
        <x:v>61.01675000000009</x:v>
      </x:c>
      <x:c r="AB14" s="40" t="n">
        <x:f>'06_PL'!AB29</x:f>
        <x:v>75.98397499999984</x:v>
      </x:c>
      <x:c r="AC14" s="40" t="n">
        <x:f>'06_PL'!AC29</x:f>
        <x:v>61.01675000000009</x:v>
      </x:c>
      <x:c r="AD14" s="40" t="n">
        <x:f>'06_PL'!AD29</x:f>
        <x:v>2084.8421000000008</x:v>
      </x:c>
      <x:c r="AE14" s="40" t="n">
        <x:f>'06_PL'!AE29</x:f>
        <x:v>2084.8421000000008</x:v>
      </x:c>
      <x:c r="AF14" s="40" t="n">
        <x:f>'06_PL'!AF29</x:f>
        <x:v>61.01675000000009</x:v>
      </x:c>
      <x:c r="AG14" s="40" t="n">
        <x:f>'06_PL'!AG29</x:f>
        <x:v>75.98397499999984</x:v>
      </x:c>
      <x:c r="AH14" s="40" t="n">
        <x:f>'06_PL'!AH29</x:f>
        <x:v>61.01675000000009</x:v>
      </x:c>
      <x:c r="AI14" s="40" t="n">
        <x:f>'06_PL'!AI29</x:f>
        <x:v>2084.8421000000008</x:v>
      </x:c>
      <x:c r="AJ14" s="40" t="n">
        <x:f>'06_PL'!AJ29</x:f>
        <x:v>3866.9057749999997</x:v>
      </x:c>
      <x:c r="AK14" s="40" t="n">
        <x:f>'06_PL'!AK29</x:f>
        <x:v>3455.140699999999</x:v>
      </x:c>
      <x:c r="AL14" s="40" t="n">
        <x:f>'06_PL'!AL29</x:f>
        <x:v>522.0631250000001</x:v>
      </x:c>
      <x:c r="AM14" s="40" t="n">
        <x:f>'06_PL'!AM29</x:f>
        <x:v>61.01675000000009</x:v>
      </x:c>
      <x:c r="AN14" s="40" t="n">
        <x:f>'06_PL'!AN29</x:f>
        <x:v>75.98397499999984</x:v>
      </x:c>
      <x:c r="AO14" s="40" t="n">
        <x:f>'06_PL'!AO29</x:f>
        <x:v>61.01675000000009</x:v>
      </x:c>
      <x:c r="AP14" s="40" t="n">
        <x:f>'06_PL'!AP29</x:f>
        <x:v>2084.8421000000008</x:v>
      </x:c>
      <x:c r="AQ14" s="40" t="n">
        <x:f>'06_PL'!AQ29</x:f>
        <x:v>2084.8421000000008</x:v>
      </x:c>
      <x:c r="AR14" s="40" t="n">
        <x:f>'06_PL'!AR29</x:f>
        <x:v>61.01675000000009</x:v>
      </x:c>
      <x:c r="AS14" s="40" t="n">
        <x:f>'06_PL'!AS29</x:f>
        <x:v>75.98397499999984</x:v>
      </x:c>
      <x:c r="AT14" s="40" t="n">
        <x:f>'06_PL'!AT29</x:f>
        <x:v>61.01675000000009</x:v>
      </x:c>
      <x:c r="AU14" s="40" t="n">
        <x:f>'06_PL'!AU29</x:f>
        <x:v>2084.8421000000008</x:v>
      </x:c>
      <x:c r="AV14" s="40" t="n">
        <x:f>'06_PL'!AV29</x:f>
        <x:v>3866.9057749999997</x:v>
      </x:c>
      <x:c r="AW14" s="40" t="n">
        <x:f>'06_PL'!AW29</x:f>
        <x:v>3455.140699999999</x:v>
      </x:c>
      <x:c r="AX14" s="40" t="n">
        <x:f>'06_PL'!AX29</x:f>
        <x:v>522.0631250000001</x:v>
      </x:c>
      <x:c r="AY14" s="40" t="n">
        <x:f>'06_PL'!AY29</x:f>
        <x:v>61.01675000000009</x:v>
      </x:c>
      <x:c r="AZ14" s="40" t="n">
        <x:f>'06_PL'!AZ29</x:f>
        <x:v>75.98397499999984</x:v>
      </x:c>
      <x:c r="BA14" s="40" t="n">
        <x:f>'06_PL'!BA29</x:f>
        <x:v>61.01675000000009</x:v>
      </x:c>
      <x:c r="BB14" s="40" t="n">
        <x:f>'06_PL'!BB29</x:f>
        <x:v>2084.8421000000008</x:v>
      </x:c>
      <x:c r="BC14" s="40" t="n">
        <x:f>'06_PL'!BC29</x:f>
        <x:v>2084.8421000000008</x:v>
      </x:c>
      <x:c r="BD14" s="40" t="n">
        <x:f>'06_PL'!BD29</x:f>
        <x:v>61.01675000000009</x:v>
      </x:c>
      <x:c r="BE14" s="40" t="n">
        <x:f>'06_PL'!BE29</x:f>
        <x:v>75.98397499999984</x:v>
      </x:c>
      <x:c r="BF14" s="40" t="n">
        <x:f>'06_PL'!BF29</x:f>
        <x:v>61.01675000000009</x:v>
      </x:c>
      <x:c r="BG14" s="40" t="n">
        <x:f>'06_PL'!BG29</x:f>
        <x:v>2084.8421000000008</x:v>
      </x:c>
      <x:c r="BH14" s="40" t="n">
        <x:f>'06_PL'!BH29</x:f>
        <x:v>3866.9057749999997</x:v>
      </x:c>
      <x:c r="BI14" s="40" t="n">
        <x:f>'06_PL'!BI29</x:f>
        <x:v>3455.140699999999</x:v>
      </x:c>
      <x:c r="BJ14" s="40" t="n">
        <x:f>'06_PL'!BJ29</x:f>
        <x:v>522.0631250000001</x:v>
      </x:c>
    </x:row>
    <x:row r="15">
      <x:c r="A15" s="12" t="str">
        <x:v>収益性</x:v>
      </x:c>
      <x:c r="B15" s="12" t="str">
        <x:v>営業利益</x:v>
      </x:c>
      <x:c r="C15" s="40" t="n">
        <x:f>'06_PL'!C31</x:f>
        <x:v>-438.9832499999999</x:v>
      </x:c>
      <x:c r="D15" s="40" t="n">
        <x:f>'06_PL'!D31</x:f>
        <x:v>-424.0160250000001</x:v>
      </x:c>
      <x:c r="E15" s="40" t="n">
        <x:f>'06_PL'!E31</x:f>
        <x:v>-438.9832499999999</x:v>
      </x:c>
      <x:c r="F15" s="40" t="n">
        <x:f>'06_PL'!F31</x:f>
        <x:v>1584.8421000000008</x:v>
      </x:c>
      <x:c r="G15" s="40" t="n">
        <x:f>'06_PL'!G31</x:f>
        <x:v>1584.8421000000008</x:v>
      </x:c>
      <x:c r="H15" s="40" t="n">
        <x:f>'06_PL'!H31</x:f>
        <x:v>-438.9832499999999</x:v>
      </x:c>
      <x:c r="I15" s="40" t="n">
        <x:f>'06_PL'!I31</x:f>
        <x:v>-424.0160250000001</x:v>
      </x:c>
      <x:c r="J15" s="40" t="n">
        <x:f>'06_PL'!J31</x:f>
        <x:v>-438.9832499999999</x:v>
      </x:c>
      <x:c r="K15" s="40" t="n">
        <x:f>'06_PL'!K31</x:f>
        <x:v>1584.8421000000008</x:v>
      </x:c>
      <x:c r="L15" s="40" t="n">
        <x:f>'06_PL'!L31</x:f>
        <x:v>3366.9057749999997</x:v>
      </x:c>
      <x:c r="M15" s="40" t="n">
        <x:f>'06_PL'!M31</x:f>
        <x:v>2955.140699999999</x:v>
      </x:c>
      <x:c r="N15" s="40" t="n">
        <x:f>'06_PL'!N31</x:f>
        <x:v>22.063125000000127</x:v>
      </x:c>
      <x:c r="O15" s="40" t="n">
        <x:f>'06_PL'!O31</x:f>
        <x:v>-438.9832499999999</x:v>
      </x:c>
      <x:c r="P15" s="40" t="n">
        <x:f>'06_PL'!P31</x:f>
        <x:v>-424.0160250000001</x:v>
      </x:c>
      <x:c r="Q15" s="40" t="n">
        <x:f>'06_PL'!Q31</x:f>
        <x:v>-438.9832499999999</x:v>
      </x:c>
      <x:c r="R15" s="40" t="n">
        <x:f>'06_PL'!R31</x:f>
        <x:v>1584.8421000000008</x:v>
      </x:c>
      <x:c r="S15" s="40" t="n">
        <x:f>'06_PL'!S31</x:f>
        <x:v>1584.8421000000008</x:v>
      </x:c>
      <x:c r="T15" s="40" t="n">
        <x:f>'06_PL'!T31</x:f>
        <x:v>-438.9832499999999</x:v>
      </x:c>
      <x:c r="U15" s="40" t="n">
        <x:f>'06_PL'!U31</x:f>
        <x:v>-424.0160250000001</x:v>
      </x:c>
      <x:c r="V15" s="40" t="n">
        <x:f>'06_PL'!V31</x:f>
        <x:v>-438.9832499999999</x:v>
      </x:c>
      <x:c r="W15" s="40" t="n">
        <x:f>'06_PL'!W31</x:f>
        <x:v>1584.8421000000008</x:v>
      </x:c>
      <x:c r="X15" s="40" t="n">
        <x:f>'06_PL'!X31</x:f>
        <x:v>3366.9057749999997</x:v>
      </x:c>
      <x:c r="Y15" s="40" t="n">
        <x:f>'06_PL'!Y31</x:f>
        <x:v>3092.3957249999994</x:v>
      </x:c>
      <x:c r="Z15" s="40" t="n">
        <x:f>'06_PL'!Z31</x:f>
        <x:v>22.063125000000127</x:v>
      </x:c>
      <x:c r="AA15" s="40" t="n">
        <x:f>'06_PL'!AA31</x:f>
        <x:v>-438.9832499999999</x:v>
      </x:c>
      <x:c r="AB15" s="40" t="n">
        <x:f>'06_PL'!AB31</x:f>
        <x:v>-424.0160250000001</x:v>
      </x:c>
      <x:c r="AC15" s="40" t="n">
        <x:f>'06_PL'!AC31</x:f>
        <x:v>-438.9832499999999</x:v>
      </x:c>
      <x:c r="AD15" s="40" t="n">
        <x:f>'06_PL'!AD31</x:f>
        <x:v>1584.8421000000008</x:v>
      </x:c>
      <x:c r="AE15" s="40" t="n">
        <x:f>'06_PL'!AE31</x:f>
        <x:v>1584.8421000000008</x:v>
      </x:c>
      <x:c r="AF15" s="40" t="n">
        <x:f>'06_PL'!AF31</x:f>
        <x:v>-438.9832499999999</x:v>
      </x:c>
      <x:c r="AG15" s="40" t="n">
        <x:f>'06_PL'!AG31</x:f>
        <x:v>-424.0160250000001</x:v>
      </x:c>
      <x:c r="AH15" s="40" t="n">
        <x:f>'06_PL'!AH31</x:f>
        <x:v>-438.9832499999999</x:v>
      </x:c>
      <x:c r="AI15" s="40" t="n">
        <x:f>'06_PL'!AI31</x:f>
        <x:v>1584.8421000000008</x:v>
      </x:c>
      <x:c r="AJ15" s="40" t="n">
        <x:f>'06_PL'!AJ31</x:f>
        <x:v>3366.9057749999997</x:v>
      </x:c>
      <x:c r="AK15" s="40" t="n">
        <x:f>'06_PL'!AK31</x:f>
        <x:v>2955.140699999999</x:v>
      </x:c>
      <x:c r="AL15" s="40" t="n">
        <x:f>'06_PL'!AL31</x:f>
        <x:v>22.063125000000127</x:v>
      </x:c>
      <x:c r="AM15" s="40" t="n">
        <x:f>'06_PL'!AM31</x:f>
        <x:v>-438.9832499999999</x:v>
      </x:c>
      <x:c r="AN15" s="40" t="n">
        <x:f>'06_PL'!AN31</x:f>
        <x:v>-424.0160250000001</x:v>
      </x:c>
      <x:c r="AO15" s="40" t="n">
        <x:f>'06_PL'!AO31</x:f>
        <x:v>-438.9832499999999</x:v>
      </x:c>
      <x:c r="AP15" s="40" t="n">
        <x:f>'06_PL'!AP31</x:f>
        <x:v>1584.8421000000008</x:v>
      </x:c>
      <x:c r="AQ15" s="40" t="n">
        <x:f>'06_PL'!AQ31</x:f>
        <x:v>1584.8421000000008</x:v>
      </x:c>
      <x:c r="AR15" s="40" t="n">
        <x:f>'06_PL'!AR31</x:f>
        <x:v>-438.9832499999999</x:v>
      </x:c>
      <x:c r="AS15" s="40" t="n">
        <x:f>'06_PL'!AS31</x:f>
        <x:v>-424.0160250000001</x:v>
      </x:c>
      <x:c r="AT15" s="40" t="n">
        <x:f>'06_PL'!AT31</x:f>
        <x:v>-438.9832499999999</x:v>
      </x:c>
      <x:c r="AU15" s="40" t="n">
        <x:f>'06_PL'!AU31</x:f>
        <x:v>1584.8421000000008</x:v>
      </x:c>
      <x:c r="AV15" s="40" t="n">
        <x:f>'06_PL'!AV31</x:f>
        <x:v>3366.9057749999997</x:v>
      </x:c>
      <x:c r="AW15" s="40" t="n">
        <x:f>'06_PL'!AW31</x:f>
        <x:v>2955.140699999999</x:v>
      </x:c>
      <x:c r="AX15" s="40" t="n">
        <x:f>'06_PL'!AX31</x:f>
        <x:v>22.063125000000127</x:v>
      </x:c>
      <x:c r="AY15" s="40" t="n">
        <x:f>'06_PL'!AY31</x:f>
        <x:v>-438.9832499999999</x:v>
      </x:c>
      <x:c r="AZ15" s="40" t="n">
        <x:f>'06_PL'!AZ31</x:f>
        <x:v>-424.0160250000001</x:v>
      </x:c>
      <x:c r="BA15" s="40" t="n">
        <x:f>'06_PL'!BA31</x:f>
        <x:v>-438.9832499999999</x:v>
      </x:c>
      <x:c r="BB15" s="40" t="n">
        <x:f>'06_PL'!BB31</x:f>
        <x:v>1584.8421000000008</x:v>
      </x:c>
      <x:c r="BC15" s="40" t="n">
        <x:f>'06_PL'!BC31</x:f>
        <x:v>1584.8421000000008</x:v>
      </x:c>
      <x:c r="BD15" s="40" t="n">
        <x:f>'06_PL'!BD31</x:f>
        <x:v>-438.9832499999999</x:v>
      </x:c>
      <x:c r="BE15" s="40" t="n">
        <x:f>'06_PL'!BE31</x:f>
        <x:v>-424.0160250000001</x:v>
      </x:c>
      <x:c r="BF15" s="40" t="n">
        <x:f>'06_PL'!BF31</x:f>
        <x:v>-438.9832499999999</x:v>
      </x:c>
      <x:c r="BG15" s="40" t="n">
        <x:f>'06_PL'!BG31</x:f>
        <x:v>1584.8421000000008</x:v>
      </x:c>
      <x:c r="BH15" s="40" t="n">
        <x:f>'06_PL'!BH31</x:f>
        <x:v>3366.9057749999997</x:v>
      </x:c>
      <x:c r="BI15" s="40" t="n">
        <x:f>'06_PL'!BI31</x:f>
        <x:v>2955.140699999999</x:v>
      </x:c>
      <x:c r="BJ15" s="40" t="n">
        <x:f>'06_PL'!BJ31</x:f>
        <x:v>22.063125000000127</x:v>
      </x:c>
    </x:row>
    <x:row r="16">
      <x:c r="A16" s="12" t="str">
        <x:v>収益性</x:v>
      </x:c>
      <x:c r="B16" s="12" t="str">
        <x:v>経常利益</x:v>
      </x:c>
      <x:c r="C16" s="40" t="n">
        <x:f>'06_PL'!C35</x:f>
        <x:v>-482.8165833333332</x:v>
      </x:c>
      <x:c r="D16" s="40" t="n">
        <x:f>'06_PL'!D35</x:f>
        <x:v>-467.84935833333344</x:v>
      </x:c>
      <x:c r="E16" s="40" t="n">
        <x:f>'06_PL'!E35</x:f>
        <x:v>-482.8165833333332</x:v>
      </x:c>
      <x:c r="F16" s="40" t="n">
        <x:f>'06_PL'!F35</x:f>
        <x:v>1541.0087666666675</x:v>
      </x:c>
      <x:c r="G16" s="40" t="n">
        <x:f>'06_PL'!G35</x:f>
        <x:v>1541.0087666666675</x:v>
      </x:c>
      <x:c r="H16" s="40" t="n">
        <x:f>'06_PL'!H35</x:f>
        <x:v>-482.8165833333332</x:v>
      </x:c>
      <x:c r="I16" s="40" t="n">
        <x:f>'06_PL'!I35</x:f>
        <x:v>-467.84935833333344</x:v>
      </x:c>
      <x:c r="J16" s="40" t="n">
        <x:f>'06_PL'!J35</x:f>
        <x:v>-482.8165833333332</x:v>
      </x:c>
      <x:c r="K16" s="40" t="n">
        <x:f>'06_PL'!K35</x:f>
        <x:v>1541.0087666666675</x:v>
      </x:c>
      <x:c r="L16" s="40" t="n">
        <x:f>'06_PL'!L35</x:f>
        <x:v>3323.0724416666662</x:v>
      </x:c>
      <x:c r="M16" s="40" t="n">
        <x:f>'06_PL'!M35</x:f>
        <x:v>2911.3073666666655</x:v>
      </x:c>
      <x:c r="N16" s="40" t="n">
        <x:f>'06_PL'!N35</x:f>
        <x:v>-21.77020833333321</x:v>
      </x:c>
      <x:c r="O16" s="40" t="n">
        <x:f>'06_PL'!O35</x:f>
        <x:v>-482.8165833333332</x:v>
      </x:c>
      <x:c r="P16" s="40" t="n">
        <x:f>'06_PL'!P35</x:f>
        <x:v>-467.84935833333344</x:v>
      </x:c>
      <x:c r="Q16" s="40" t="n">
        <x:f>'06_PL'!Q35</x:f>
        <x:v>-482.8165833333332</x:v>
      </x:c>
      <x:c r="R16" s="40" t="n">
        <x:f>'06_PL'!R35</x:f>
        <x:v>1541.0087666666675</x:v>
      </x:c>
      <x:c r="S16" s="40" t="n">
        <x:f>'06_PL'!S35</x:f>
        <x:v>1541.0087666666675</x:v>
      </x:c>
      <x:c r="T16" s="40" t="n">
        <x:f>'06_PL'!T35</x:f>
        <x:v>-482.8165833333332</x:v>
      </x:c>
      <x:c r="U16" s="40" t="n">
        <x:f>'06_PL'!U35</x:f>
        <x:v>-467.84935833333344</x:v>
      </x:c>
      <x:c r="V16" s="40" t="n">
        <x:f>'06_PL'!V35</x:f>
        <x:v>-482.8165833333332</x:v>
      </x:c>
      <x:c r="W16" s="40" t="n">
        <x:f>'06_PL'!W35</x:f>
        <x:v>1541.0087666666675</x:v>
      </x:c>
      <x:c r="X16" s="40" t="n">
        <x:f>'06_PL'!X35</x:f>
        <x:v>3323.0724416666662</x:v>
      </x:c>
      <x:c r="Y16" s="40" t="n">
        <x:f>'06_PL'!Y35</x:f>
        <x:v>3048.562391666666</x:v>
      </x:c>
      <x:c r="Z16" s="40" t="n">
        <x:f>'06_PL'!Z35</x:f>
        <x:v>-21.77020833333321</x:v>
      </x:c>
      <x:c r="AA16" s="40" t="n">
        <x:f>'06_PL'!AA35</x:f>
        <x:v>-482.8165833333332</x:v>
      </x:c>
      <x:c r="AB16" s="40" t="n">
        <x:f>'06_PL'!AB35</x:f>
        <x:v>-467.84935833333344</x:v>
      </x:c>
      <x:c r="AC16" s="40" t="n">
        <x:f>'06_PL'!AC35</x:f>
        <x:v>-482.8165833333332</x:v>
      </x:c>
      <x:c r="AD16" s="40" t="n">
        <x:f>'06_PL'!AD35</x:f>
        <x:v>1541.0087666666675</x:v>
      </x:c>
      <x:c r="AE16" s="40" t="n">
        <x:f>'06_PL'!AE35</x:f>
        <x:v>1541.0087666666675</x:v>
      </x:c>
      <x:c r="AF16" s="40" t="n">
        <x:f>'06_PL'!AF35</x:f>
        <x:v>-482.8165833333332</x:v>
      </x:c>
      <x:c r="AG16" s="40" t="n">
        <x:f>'06_PL'!AG35</x:f>
        <x:v>-467.84935833333344</x:v>
      </x:c>
      <x:c r="AH16" s="40" t="n">
        <x:f>'06_PL'!AH35</x:f>
        <x:v>-482.8165833333332</x:v>
      </x:c>
      <x:c r="AI16" s="40" t="n">
        <x:f>'06_PL'!AI35</x:f>
        <x:v>1541.0087666666675</x:v>
      </x:c>
      <x:c r="AJ16" s="40" t="n">
        <x:f>'06_PL'!AJ35</x:f>
        <x:v>3323.0724416666662</x:v>
      </x:c>
      <x:c r="AK16" s="40" t="n">
        <x:f>'06_PL'!AK35</x:f>
        <x:v>2911.3073666666655</x:v>
      </x:c>
      <x:c r="AL16" s="40" t="n">
        <x:f>'06_PL'!AL35</x:f>
        <x:v>-21.77020833333321</x:v>
      </x:c>
      <x:c r="AM16" s="40" t="n">
        <x:f>'06_PL'!AM35</x:f>
        <x:v>-482.8165833333332</x:v>
      </x:c>
      <x:c r="AN16" s="40" t="n">
        <x:f>'06_PL'!AN35</x:f>
        <x:v>-467.84935833333344</x:v>
      </x:c>
      <x:c r="AO16" s="40" t="n">
        <x:f>'06_PL'!AO35</x:f>
        <x:v>-482.8165833333332</x:v>
      </x:c>
      <x:c r="AP16" s="40" t="n">
        <x:f>'06_PL'!AP35</x:f>
        <x:v>1541.0087666666675</x:v>
      </x:c>
      <x:c r="AQ16" s="40" t="n">
        <x:f>'06_PL'!AQ35</x:f>
        <x:v>1541.0087666666675</x:v>
      </x:c>
      <x:c r="AR16" s="40" t="n">
        <x:f>'06_PL'!AR35</x:f>
        <x:v>-482.8165833333332</x:v>
      </x:c>
      <x:c r="AS16" s="40" t="n">
        <x:f>'06_PL'!AS35</x:f>
        <x:v>-467.84935833333344</x:v>
      </x:c>
      <x:c r="AT16" s="40" t="n">
        <x:f>'06_PL'!AT35</x:f>
        <x:v>-482.8165833333332</x:v>
      </x:c>
      <x:c r="AU16" s="40" t="n">
        <x:f>'06_PL'!AU35</x:f>
        <x:v>1541.0087666666675</x:v>
      </x:c>
      <x:c r="AV16" s="40" t="n">
        <x:f>'06_PL'!AV35</x:f>
        <x:v>3323.0724416666662</x:v>
      </x:c>
      <x:c r="AW16" s="40" t="n">
        <x:f>'06_PL'!AW35</x:f>
        <x:v>2911.3073666666655</x:v>
      </x:c>
      <x:c r="AX16" s="40" t="n">
        <x:f>'06_PL'!AX35</x:f>
        <x:v>-21.77020833333321</x:v>
      </x:c>
      <x:c r="AY16" s="40" t="n">
        <x:f>'06_PL'!AY35</x:f>
        <x:v>-482.8165833333332</x:v>
      </x:c>
      <x:c r="AZ16" s="40" t="n">
        <x:f>'06_PL'!AZ35</x:f>
        <x:v>-467.84935833333344</x:v>
      </x:c>
      <x:c r="BA16" s="40" t="n">
        <x:f>'06_PL'!BA35</x:f>
        <x:v>-482.8165833333332</x:v>
      </x:c>
      <x:c r="BB16" s="40" t="n">
        <x:f>'06_PL'!BB35</x:f>
        <x:v>1541.0087666666675</x:v>
      </x:c>
      <x:c r="BC16" s="40" t="n">
        <x:f>'06_PL'!BC35</x:f>
        <x:v>1541.0087666666675</x:v>
      </x:c>
      <x:c r="BD16" s="40" t="n">
        <x:f>'06_PL'!BD35</x:f>
        <x:v>-482.8165833333332</x:v>
      </x:c>
      <x:c r="BE16" s="40" t="n">
        <x:f>'06_PL'!BE35</x:f>
        <x:v>-467.84935833333344</x:v>
      </x:c>
      <x:c r="BF16" s="40" t="n">
        <x:f>'06_PL'!BF35</x:f>
        <x:v>-482.8165833333332</x:v>
      </x:c>
      <x:c r="BG16" s="40" t="n">
        <x:f>'06_PL'!BG35</x:f>
        <x:v>1541.0087666666675</x:v>
      </x:c>
      <x:c r="BH16" s="40" t="n">
        <x:f>'06_PL'!BH35</x:f>
        <x:v>3323.0724416666662</x:v>
      </x:c>
      <x:c r="BI16" s="40" t="n">
        <x:f>'06_PL'!BI35</x:f>
        <x:v>2911.3073666666655</x:v>
      </x:c>
      <x:c r="BJ16" s="40" t="n">
        <x:f>'06_PL'!BJ35</x:f>
        <x:v>-21.77020833333321</x:v>
      </x:c>
    </x:row>
    <x:row r="17">
      <x:c r="A17" s="12" t="str">
        <x:v>収益性</x:v>
      </x:c>
      <x:c r="B17" s="12" t="str">
        <x:v>当期純利益</x:v>
      </x:c>
      <x:c r="C17" s="40" t="n">
        <x:f>'06_PL'!C37</x:f>
        <x:v>-557.2930833333332</x:v>
      </x:c>
      <x:c r="D17" s="40" t="n">
        <x:f>'06_PL'!D37</x:f>
        <x:v>-547.6084083333334</x:v>
      </x:c>
      <x:c r="E17" s="40" t="n">
        <x:f>'06_PL'!E37</x:f>
        <x:v>-557.2930833333332</x:v>
      </x:c>
      <x:c r="F17" s="40" t="n">
        <x:f>'06_PL'!F37</x:f>
        <x:v>752.2409666666672</x:v>
      </x:c>
      <x:c r="G17" s="40" t="n">
        <x:f>'06_PL'!G37</x:f>
        <x:v>752.2409666666672</x:v>
      </x:c>
      <x:c r="H17" s="40" t="n">
        <x:f>'06_PL'!H37</x:f>
        <x:v>-557.2930833333332</x:v>
      </x:c>
      <x:c r="I17" s="40" t="n">
        <x:f>'06_PL'!I37</x:f>
        <x:v>-547.6084083333334</x:v>
      </x:c>
      <x:c r="J17" s="40" t="n">
        <x:f>'06_PL'!J37</x:f>
        <x:v>-557.2930833333332</x:v>
      </x:c>
      <x:c r="K17" s="40" t="n">
        <x:f>'06_PL'!K37</x:f>
        <x:v>752.2409666666672</x:v>
      </x:c>
      <x:c r="L17" s="40" t="n">
        <x:f>'06_PL'!L37</x:f>
        <x:v>1905.3409916666662</x:v>
      </x:c>
      <x:c r="M17" s="40" t="n">
        <x:f>'06_PL'!M37</x:f>
        <x:v>1638.9047666666659</x:v>
      </x:c>
      <x:c r="N17" s="40" t="n">
        <x:f>'06_PL'!N37</x:f>
        <x:v>-258.9689583333332</x:v>
      </x:c>
      <x:c r="O17" s="40" t="n">
        <x:f>'06_PL'!O37</x:f>
        <x:v>-557.2930833333332</x:v>
      </x:c>
      <x:c r="P17" s="40" t="n">
        <x:f>'06_PL'!P37</x:f>
        <x:v>-547.6084083333334</x:v>
      </x:c>
      <x:c r="Q17" s="40" t="n">
        <x:f>'06_PL'!Q37</x:f>
        <x:v>-557.2930833333332</x:v>
      </x:c>
      <x:c r="R17" s="40" t="n">
        <x:f>'06_PL'!R37</x:f>
        <x:v>752.2409666666672</x:v>
      </x:c>
      <x:c r="S17" s="40" t="n">
        <x:f>'06_PL'!S37</x:f>
        <x:v>752.2409666666672</x:v>
      </x:c>
      <x:c r="T17" s="40" t="n">
        <x:f>'06_PL'!T37</x:f>
        <x:v>-557.2930833333332</x:v>
      </x:c>
      <x:c r="U17" s="40" t="n">
        <x:f>'06_PL'!U37</x:f>
        <x:v>-547.6084083333334</x:v>
      </x:c>
      <x:c r="V17" s="40" t="n">
        <x:f>'06_PL'!V37</x:f>
        <x:v>-557.2930833333332</x:v>
      </x:c>
      <x:c r="W17" s="40" t="n">
        <x:f>'06_PL'!W37</x:f>
        <x:v>752.2409666666672</x:v>
      </x:c>
      <x:c r="X17" s="40" t="n">
        <x:f>'06_PL'!X37</x:f>
        <x:v>1905.3409916666662</x:v>
      </x:c>
      <x:c r="Y17" s="40" t="n">
        <x:f>'06_PL'!Y37</x:f>
        <x:v>1727.7168416666661</x:v>
      </x:c>
      <x:c r="Z17" s="40" t="n">
        <x:f>'06_PL'!Z37</x:f>
        <x:v>-258.9689583333332</x:v>
      </x:c>
      <x:c r="AA17" s="40" t="n">
        <x:f>'06_PL'!AA37</x:f>
        <x:v>-557.2930833333332</x:v>
      </x:c>
      <x:c r="AB17" s="40" t="n">
        <x:f>'06_PL'!AB37</x:f>
        <x:v>-547.6084083333334</x:v>
      </x:c>
      <x:c r="AC17" s="40" t="n">
        <x:f>'06_PL'!AC37</x:f>
        <x:v>-557.2930833333332</x:v>
      </x:c>
      <x:c r="AD17" s="40" t="n">
        <x:f>'06_PL'!AD37</x:f>
        <x:v>752.2409666666672</x:v>
      </x:c>
      <x:c r="AE17" s="40" t="n">
        <x:f>'06_PL'!AE37</x:f>
        <x:v>752.2409666666672</x:v>
      </x:c>
      <x:c r="AF17" s="40" t="n">
        <x:f>'06_PL'!AF37</x:f>
        <x:v>-557.2930833333332</x:v>
      </x:c>
      <x:c r="AG17" s="40" t="n">
        <x:f>'06_PL'!AG37</x:f>
        <x:v>-547.6084083333334</x:v>
      </x:c>
      <x:c r="AH17" s="40" t="n">
        <x:f>'06_PL'!AH37</x:f>
        <x:v>-557.2930833333332</x:v>
      </x:c>
      <x:c r="AI17" s="40" t="n">
        <x:f>'06_PL'!AI37</x:f>
        <x:v>752.2409666666672</x:v>
      </x:c>
      <x:c r="AJ17" s="40" t="n">
        <x:f>'06_PL'!AJ37</x:f>
        <x:v>1905.3409916666662</x:v>
      </x:c>
      <x:c r="AK17" s="40" t="n">
        <x:f>'06_PL'!AK37</x:f>
        <x:v>1638.9047666666659</x:v>
      </x:c>
      <x:c r="AL17" s="40" t="n">
        <x:f>'06_PL'!AL37</x:f>
        <x:v>-258.9689583333332</x:v>
      </x:c>
      <x:c r="AM17" s="40" t="n">
        <x:f>'06_PL'!AM37</x:f>
        <x:v>-557.2930833333332</x:v>
      </x:c>
      <x:c r="AN17" s="40" t="n">
        <x:f>'06_PL'!AN37</x:f>
        <x:v>-547.6084083333334</x:v>
      </x:c>
      <x:c r="AO17" s="40" t="n">
        <x:f>'06_PL'!AO37</x:f>
        <x:v>-557.2930833333332</x:v>
      </x:c>
      <x:c r="AP17" s="40" t="n">
        <x:f>'06_PL'!AP37</x:f>
        <x:v>752.2409666666672</x:v>
      </x:c>
      <x:c r="AQ17" s="40" t="n">
        <x:f>'06_PL'!AQ37</x:f>
        <x:v>752.2409666666672</x:v>
      </x:c>
      <x:c r="AR17" s="40" t="n">
        <x:f>'06_PL'!AR37</x:f>
        <x:v>-557.2930833333332</x:v>
      </x:c>
      <x:c r="AS17" s="40" t="n">
        <x:f>'06_PL'!AS37</x:f>
        <x:v>-547.6084083333334</x:v>
      </x:c>
      <x:c r="AT17" s="40" t="n">
        <x:f>'06_PL'!AT37</x:f>
        <x:v>-557.2930833333332</x:v>
      </x:c>
      <x:c r="AU17" s="40" t="n">
        <x:f>'06_PL'!AU37</x:f>
        <x:v>752.2409666666672</x:v>
      </x:c>
      <x:c r="AV17" s="40" t="n">
        <x:f>'06_PL'!AV37</x:f>
        <x:v>1905.3409916666662</x:v>
      </x:c>
      <x:c r="AW17" s="40" t="n">
        <x:f>'06_PL'!AW37</x:f>
        <x:v>1638.9047666666659</x:v>
      </x:c>
      <x:c r="AX17" s="40" t="n">
        <x:f>'06_PL'!AX37</x:f>
        <x:v>-258.9689583333332</x:v>
      </x:c>
      <x:c r="AY17" s="40" t="n">
        <x:f>'06_PL'!AY37</x:f>
        <x:v>-557.2930833333332</x:v>
      </x:c>
      <x:c r="AZ17" s="40" t="n">
        <x:f>'06_PL'!AZ37</x:f>
        <x:v>-547.6084083333334</x:v>
      </x:c>
      <x:c r="BA17" s="40" t="n">
        <x:f>'06_PL'!BA37</x:f>
        <x:v>-557.2930833333332</x:v>
      </x:c>
      <x:c r="BB17" s="40" t="n">
        <x:f>'06_PL'!BB37</x:f>
        <x:v>752.2409666666672</x:v>
      </x:c>
      <x:c r="BC17" s="40" t="n">
        <x:f>'06_PL'!BC37</x:f>
        <x:v>752.2409666666672</x:v>
      </x:c>
      <x:c r="BD17" s="40" t="n">
        <x:f>'06_PL'!BD37</x:f>
        <x:v>-557.2930833333332</x:v>
      </x:c>
      <x:c r="BE17" s="40" t="n">
        <x:f>'06_PL'!BE37</x:f>
        <x:v>-547.6084083333334</x:v>
      </x:c>
      <x:c r="BF17" s="40" t="n">
        <x:f>'06_PL'!BF37</x:f>
        <x:v>-557.2930833333332</x:v>
      </x:c>
      <x:c r="BG17" s="40" t="n">
        <x:f>'06_PL'!BG37</x:f>
        <x:v>752.2409666666672</x:v>
      </x:c>
      <x:c r="BH17" s="40" t="n">
        <x:f>'06_PL'!BH37</x:f>
        <x:v>1905.3409916666662</x:v>
      </x:c>
      <x:c r="BI17" s="40" t="n">
        <x:f>'06_PL'!BI37</x:f>
        <x:v>1638.9047666666659</x:v>
      </x:c>
      <x:c r="BJ17" s="40" t="n">
        <x:f>'06_PL'!BJ37</x:f>
        <x:v>-258.9689583333332</x:v>
      </x:c>
    </x:row>
    <x:row r="18">
      <x:c r="A18" s="12" t="str">
        <x:v>マージン</x:v>
      </x:c>
      <x:c r="B18" s="12" t="str">
        <x:v>GOP before MC率</x:v>
      </x:c>
      <x:c r="C18" s="41" t="n">
        <x:f>IFERROR(C13/C12,0)</x:f>
        <x:v>0.09966477979846645</x:v>
      </x:c>
      <x:c r="D18" s="41" t="n">
        <x:f>IFERROR(D13/D12,0)</x:f>
        <x:v>0.10329088203641895</x:v>
      </x:c>
      <x:c r="E18" s="41" t="n">
        <x:f>IFERROR(E13/E12,0)</x:f>
        <x:v>0.09966477979846645</x:v>
      </x:c>
      <x:c r="F18" s="41" t="n">
        <x:f>IFERROR(F13/F12,0)</x:f>
        <x:v>0.43763540730383843</x:v>
      </x:c>
      <x:c r="G18" s="41" t="n">
        <x:f>IFERROR(G13/G12,0)</x:f>
        <x:v>0.43763540730383843</x:v>
      </x:c>
      <x:c r="H18" s="41" t="n">
        <x:f>IFERROR(H13/H12,0)</x:f>
        <x:v>0.09966477979846645</x:v>
      </x:c>
      <x:c r="I18" s="41" t="n">
        <x:f>IFERROR(I13/I12,0)</x:f>
        <x:v>0.10329088203641895</x:v>
      </x:c>
      <x:c r="J18" s="41" t="n">
        <x:f>IFERROR(J13/J12,0)</x:f>
        <x:v>0.09966477979846645</x:v>
      </x:c>
      <x:c r="K18" s="41" t="n">
        <x:f>IFERROR(K13/K12,0)</x:f>
        <x:v>0.43763540730383843</x:v>
      </x:c>
      <x:c r="L18" s="41" t="n">
        <x:f>IFERROR(L13/L12,0)</x:f>
        <x:v>0.5288979007580192</x:v>
      </x:c>
      <x:c r="M18" s="41" t="n">
        <x:f>IFERROR(M13/M12,0)</x:f>
        <x:v>0.5255403670679665</x:v>
      </x:c>
      <x:c r="N18" s="41" t="n">
        <x:f>IFERROR(N13/N12,0)</x:f>
        <x:v>0.23345759208680894</x:v>
      </x:c>
      <x:c r="O18" s="41" t="n">
        <x:f>IFERROR(O13/O12,0)</x:f>
        <x:v>0.09966477979846645</x:v>
      </x:c>
      <x:c r="P18" s="41" t="n">
        <x:f>IFERROR(P13/P12,0)</x:f>
        <x:v>0.10329088203641895</x:v>
      </x:c>
      <x:c r="Q18" s="41" t="n">
        <x:f>IFERROR(Q13/Q12,0)</x:f>
        <x:v>0.09966477979846645</x:v>
      </x:c>
      <x:c r="R18" s="41" t="n">
        <x:f>IFERROR(R13/R12,0)</x:f>
        <x:v>0.43763540730383843</x:v>
      </x:c>
      <x:c r="S18" s="41" t="n">
        <x:f>IFERROR(S13/S12,0)</x:f>
        <x:v>0.43763540730383843</x:v>
      </x:c>
      <x:c r="T18" s="41" t="n">
        <x:f>IFERROR(T13/T12,0)</x:f>
        <x:v>0.09966477979846645</x:v>
      </x:c>
      <x:c r="U18" s="41" t="n">
        <x:f>IFERROR(U13/U12,0)</x:f>
        <x:v>0.10329088203641895</x:v>
      </x:c>
      <x:c r="V18" s="41" t="n">
        <x:f>IFERROR(V13/V12,0)</x:f>
        <x:v>0.09966477979846645</x:v>
      </x:c>
      <x:c r="W18" s="41" t="n">
        <x:f>IFERROR(W13/W12,0)</x:f>
        <x:v>0.43763540730383843</x:v>
      </x:c>
      <x:c r="X18" s="41" t="n">
        <x:f>IFERROR(X13/X12,0)</x:f>
        <x:v>0.5288979007580192</x:v>
      </x:c>
      <x:c r="Y18" s="41" t="n">
        <x:f>IFERROR(Y13/Y12,0)</x:f>
        <x:v>0.5267367296471807</x:v>
      </x:c>
      <x:c r="Z18" s="41" t="n">
        <x:f>IFERROR(Z13/Z12,0)</x:f>
        <x:v>0.23345759208680894</x:v>
      </x:c>
      <x:c r="AA18" s="41" t="n">
        <x:f>IFERROR(AA13/AA12,0)</x:f>
        <x:v>0.09966477979846645</x:v>
      </x:c>
      <x:c r="AB18" s="41" t="n">
        <x:f>IFERROR(AB13/AB12,0)</x:f>
        <x:v>0.10329088203641895</x:v>
      </x:c>
      <x:c r="AC18" s="41" t="n">
        <x:f>IFERROR(AC13/AC12,0)</x:f>
        <x:v>0.09966477979846645</x:v>
      </x:c>
      <x:c r="AD18" s="41" t="n">
        <x:f>IFERROR(AD13/AD12,0)</x:f>
        <x:v>0.43763540730383843</x:v>
      </x:c>
      <x:c r="AE18" s="41" t="n">
        <x:f>IFERROR(AE13/AE12,0)</x:f>
        <x:v>0.43763540730383843</x:v>
      </x:c>
      <x:c r="AF18" s="41" t="n">
        <x:f>IFERROR(AF13/AF12,0)</x:f>
        <x:v>0.09966477979846645</x:v>
      </x:c>
      <x:c r="AG18" s="41" t="n">
        <x:f>IFERROR(AG13/AG12,0)</x:f>
        <x:v>0.10329088203641895</x:v>
      </x:c>
      <x:c r="AH18" s="41" t="n">
        <x:f>IFERROR(AH13/AH12,0)</x:f>
        <x:v>0.09966477979846645</x:v>
      </x:c>
      <x:c r="AI18" s="41" t="n">
        <x:f>IFERROR(AI13/AI12,0)</x:f>
        <x:v>0.43763540730383843</x:v>
      </x:c>
      <x:c r="AJ18" s="41" t="n">
        <x:f>IFERROR(AJ13/AJ12,0)</x:f>
        <x:v>0.5288979007580192</x:v>
      </x:c>
      <x:c r="AK18" s="41" t="n">
        <x:f>IFERROR(AK13/AK12,0)</x:f>
        <x:v>0.5255403670679665</x:v>
      </x:c>
      <x:c r="AL18" s="41" t="n">
        <x:f>IFERROR(AL13/AL12,0)</x:f>
        <x:v>0.23345759208680894</x:v>
      </x:c>
      <x:c r="AM18" s="41" t="n">
        <x:f>IFERROR(AM13/AM12,0)</x:f>
        <x:v>0.09966477979846645</x:v>
      </x:c>
      <x:c r="AN18" s="41" t="n">
        <x:f>IFERROR(AN13/AN12,0)</x:f>
        <x:v>0.10329088203641895</x:v>
      </x:c>
      <x:c r="AO18" s="41" t="n">
        <x:f>IFERROR(AO13/AO12,0)</x:f>
        <x:v>0.09966477979846645</x:v>
      </x:c>
      <x:c r="AP18" s="41" t="n">
        <x:f>IFERROR(AP13/AP12,0)</x:f>
        <x:v>0.43763540730383843</x:v>
      </x:c>
      <x:c r="AQ18" s="41" t="n">
        <x:f>IFERROR(AQ13/AQ12,0)</x:f>
        <x:v>0.43763540730383843</x:v>
      </x:c>
      <x:c r="AR18" s="41" t="n">
        <x:f>IFERROR(AR13/AR12,0)</x:f>
        <x:v>0.09966477979846645</x:v>
      </x:c>
      <x:c r="AS18" s="41" t="n">
        <x:f>IFERROR(AS13/AS12,0)</x:f>
        <x:v>0.10329088203641895</x:v>
      </x:c>
      <x:c r="AT18" s="41" t="n">
        <x:f>IFERROR(AT13/AT12,0)</x:f>
        <x:v>0.09966477979846645</x:v>
      </x:c>
      <x:c r="AU18" s="41" t="n">
        <x:f>IFERROR(AU13/AU12,0)</x:f>
        <x:v>0.43763540730383843</x:v>
      </x:c>
      <x:c r="AV18" s="41" t="n">
        <x:f>IFERROR(AV13/AV12,0)</x:f>
        <x:v>0.5288979007580192</x:v>
      </x:c>
      <x:c r="AW18" s="41" t="n">
        <x:f>IFERROR(AW13/AW12,0)</x:f>
        <x:v>0.5255403670679665</x:v>
      </x:c>
      <x:c r="AX18" s="41" t="n">
        <x:f>IFERROR(AX13/AX12,0)</x:f>
        <x:v>0.23345759208680894</x:v>
      </x:c>
      <x:c r="AY18" s="41" t="n">
        <x:f>IFERROR(AY13/AY12,0)</x:f>
        <x:v>0.09966477979846645</x:v>
      </x:c>
      <x:c r="AZ18" s="41" t="n">
        <x:f>IFERROR(AZ13/AZ12,0)</x:f>
        <x:v>0.10329088203641895</x:v>
      </x:c>
      <x:c r="BA18" s="41" t="n">
        <x:f>IFERROR(BA13/BA12,0)</x:f>
        <x:v>0.09966477979846645</x:v>
      </x:c>
      <x:c r="BB18" s="41" t="n">
        <x:f>IFERROR(BB13/BB12,0)</x:f>
        <x:v>0.43763540730383843</x:v>
      </x:c>
      <x:c r="BC18" s="41" t="n">
        <x:f>IFERROR(BC13/BC12,0)</x:f>
        <x:v>0.43763540730383843</x:v>
      </x:c>
      <x:c r="BD18" s="41" t="n">
        <x:f>IFERROR(BD13/BD12,0)</x:f>
        <x:v>0.09966477979846645</x:v>
      </x:c>
      <x:c r="BE18" s="41" t="n">
        <x:f>IFERROR(BE13/BE12,0)</x:f>
        <x:v>0.10329088203641895</x:v>
      </x:c>
      <x:c r="BF18" s="41" t="n">
        <x:f>IFERROR(BF13/BF12,0)</x:f>
        <x:v>0.09966477979846645</x:v>
      </x:c>
      <x:c r="BG18" s="41" t="n">
        <x:f>IFERROR(BG13/BG12,0)</x:f>
        <x:v>0.43763540730383843</x:v>
      </x:c>
      <x:c r="BH18" s="41" t="n">
        <x:f>IFERROR(BH13/BH12,0)</x:f>
        <x:v>0.5288979007580192</x:v>
      </x:c>
      <x:c r="BI18" s="41" t="n">
        <x:f>IFERROR(BI13/BI12,0)</x:f>
        <x:v>0.5255403670679665</x:v>
      </x:c>
      <x:c r="BJ18" s="41" t="n">
        <x:f>IFERROR(BJ13/BJ12,0)</x:f>
        <x:v>0.23345759208680894</x:v>
      </x:c>
    </x:row>
    <x:row r="19">
      <x:c r="A19" s="12" t="str">
        <x:v>マージン</x:v>
      </x:c>
      <x:c r="B19" s="12" t="str">
        <x:v>EBITDA率</x:v>
      </x:c>
      <x:c r="C19" s="41" t="n">
        <x:f>IFERROR(C14/C12,0)</x:f>
        <x:v>0.024495864948412254</x:v>
      </x:c>
      <x:c r="D19" s="41" t="n">
        <x:f>IFERROR(D14/D12,0)</x:f>
        <x:v>0.02952060662100362</x:v>
      </x:c>
      <x:c r="E19" s="41" t="n">
        <x:f>IFERROR(E14/E12,0)</x:f>
        <x:v>0.024495864948412254</x:v>
      </x:c>
      <x:c r="F19" s="41" t="n">
        <x:f>IFERROR(F14/F12,0)</x:f>
        <x:v>0.3470225540131163</x:v>
      </x:c>
      <x:c r="G19" s="41" t="n">
        <x:f>IFERROR(G14/G12,0)</x:f>
        <x:v>0.3470225540131163</x:v>
      </x:c>
      <x:c r="H19" s="41" t="n">
        <x:f>IFERROR(H14/H12,0)</x:f>
        <x:v>0.024495864948412254</x:v>
      </x:c>
      <x:c r="I19" s="41" t="n">
        <x:f>IFERROR(I14/I12,0)</x:f>
        <x:v>0.02952060662100362</x:v>
      </x:c>
      <x:c r="J19" s="41" t="n">
        <x:f>IFERROR(J14/J12,0)</x:f>
        <x:v>0.024495864948412254</x:v>
      </x:c>
      <x:c r="K19" s="41" t="n">
        <x:f>IFERROR(K14/K12,0)</x:f>
        <x:v>0.3470225540131163</x:v>
      </x:c>
      <x:c r="L19" s="41" t="n">
        <x:f>IFERROR(L14/L12,0)</x:f>
        <x:v>0.43277554719405315</x:v>
      </x:c>
      <x:c r="M19" s="41" t="n">
        <x:f>IFERROR(M14/M12,0)</x:f>
        <x:v>0.42812296479498013</x:v>
      </x:c>
      <x:c r="N19" s="41" t="n">
        <x:f>IFERROR(N14/N12,0)</x:f>
        <x:v>0.1541487045102237</x:v>
      </x:c>
      <x:c r="O19" s="41" t="n">
        <x:f>IFERROR(O14/O12,0)</x:f>
        <x:v>0.024495864948412254</x:v>
      </x:c>
      <x:c r="P19" s="41" t="n">
        <x:f>IFERROR(P14/P12,0)</x:f>
        <x:v>0.02952060662100362</x:v>
      </x:c>
      <x:c r="Q19" s="41" t="n">
        <x:f>IFERROR(Q14/Q12,0)</x:f>
        <x:v>0.024495864948412254</x:v>
      </x:c>
      <x:c r="R19" s="41" t="n">
        <x:f>IFERROR(R14/R12,0)</x:f>
        <x:v>0.3470225540131163</x:v>
      </x:c>
      <x:c r="S19" s="41" t="n">
        <x:f>IFERROR(S14/S12,0)</x:f>
        <x:v>0.3470225540131163</x:v>
      </x:c>
      <x:c r="T19" s="41" t="n">
        <x:f>IFERROR(T14/T12,0)</x:f>
        <x:v>0.024495864948412254</x:v>
      </x:c>
      <x:c r="U19" s="41" t="n">
        <x:f>IFERROR(U14/U12,0)</x:f>
        <x:v>0.02952060662100362</x:v>
      </x:c>
      <x:c r="V19" s="41" t="n">
        <x:f>IFERROR(V14/V12,0)</x:f>
        <x:v>0.024495864948412254</x:v>
      </x:c>
      <x:c r="W19" s="41" t="n">
        <x:f>IFERROR(W14/W12,0)</x:f>
        <x:v>0.3470225540131163</x:v>
      </x:c>
      <x:c r="X19" s="41" t="n">
        <x:f>IFERROR(X14/X12,0)</x:f>
        <x:v>0.43277554719405315</x:v>
      </x:c>
      <x:c r="Y19" s="41" t="n">
        <x:f>IFERROR(Y14/Y12,0)</x:f>
        <x:v>0.4297807815118912</x:v>
      </x:c>
      <x:c r="Z19" s="41" t="n">
        <x:f>IFERROR(Z14/Z12,0)</x:f>
        <x:v>0.1541487045102237</x:v>
      </x:c>
      <x:c r="AA19" s="41" t="n">
        <x:f>IFERROR(AA14/AA12,0)</x:f>
        <x:v>0.024495864948412254</x:v>
      </x:c>
      <x:c r="AB19" s="41" t="n">
        <x:f>IFERROR(AB14/AB12,0)</x:f>
        <x:v>0.02952060662100362</x:v>
      </x:c>
      <x:c r="AC19" s="41" t="n">
        <x:f>IFERROR(AC14/AC12,0)</x:f>
        <x:v>0.024495864948412254</x:v>
      </x:c>
      <x:c r="AD19" s="41" t="n">
        <x:f>IFERROR(AD14/AD12,0)</x:f>
        <x:v>0.3470225540131163</x:v>
      </x:c>
      <x:c r="AE19" s="41" t="n">
        <x:f>IFERROR(AE14/AE12,0)</x:f>
        <x:v>0.3470225540131163</x:v>
      </x:c>
      <x:c r="AF19" s="41" t="n">
        <x:f>IFERROR(AF14/AF12,0)</x:f>
        <x:v>0.024495864948412254</x:v>
      </x:c>
      <x:c r="AG19" s="41" t="n">
        <x:f>IFERROR(AG14/AG12,0)</x:f>
        <x:v>0.02952060662100362</x:v>
      </x:c>
      <x:c r="AH19" s="41" t="n">
        <x:f>IFERROR(AH14/AH12,0)</x:f>
        <x:v>0.024495864948412254</x:v>
      </x:c>
      <x:c r="AI19" s="41" t="n">
        <x:f>IFERROR(AI14/AI12,0)</x:f>
        <x:v>0.3470225540131163</x:v>
      </x:c>
      <x:c r="AJ19" s="41" t="n">
        <x:f>IFERROR(AJ14/AJ12,0)</x:f>
        <x:v>0.43277554719405315</x:v>
      </x:c>
      <x:c r="AK19" s="41" t="n">
        <x:f>IFERROR(AK14/AK12,0)</x:f>
        <x:v>0.42812296479498013</x:v>
      </x:c>
      <x:c r="AL19" s="41" t="n">
        <x:f>IFERROR(AL14/AL12,0)</x:f>
        <x:v>0.1541487045102237</x:v>
      </x:c>
      <x:c r="AM19" s="41" t="n">
        <x:f>IFERROR(AM14/AM12,0)</x:f>
        <x:v>0.024495864948412254</x:v>
      </x:c>
      <x:c r="AN19" s="41" t="n">
        <x:f>IFERROR(AN14/AN12,0)</x:f>
        <x:v>0.02952060662100362</x:v>
      </x:c>
      <x:c r="AO19" s="41" t="n">
        <x:f>IFERROR(AO14/AO12,0)</x:f>
        <x:v>0.024495864948412254</x:v>
      </x:c>
      <x:c r="AP19" s="41" t="n">
        <x:f>IFERROR(AP14/AP12,0)</x:f>
        <x:v>0.3470225540131163</x:v>
      </x:c>
      <x:c r="AQ19" s="41" t="n">
        <x:f>IFERROR(AQ14/AQ12,0)</x:f>
        <x:v>0.3470225540131163</x:v>
      </x:c>
      <x:c r="AR19" s="41" t="n">
        <x:f>IFERROR(AR14/AR12,0)</x:f>
        <x:v>0.024495864948412254</x:v>
      </x:c>
      <x:c r="AS19" s="41" t="n">
        <x:f>IFERROR(AS14/AS12,0)</x:f>
        <x:v>0.02952060662100362</x:v>
      </x:c>
      <x:c r="AT19" s="41" t="n">
        <x:f>IFERROR(AT14/AT12,0)</x:f>
        <x:v>0.024495864948412254</x:v>
      </x:c>
      <x:c r="AU19" s="41" t="n">
        <x:f>IFERROR(AU14/AU12,0)</x:f>
        <x:v>0.3470225540131163</x:v>
      </x:c>
      <x:c r="AV19" s="41" t="n">
        <x:f>IFERROR(AV14/AV12,0)</x:f>
        <x:v>0.43277554719405315</x:v>
      </x:c>
      <x:c r="AW19" s="41" t="n">
        <x:f>IFERROR(AW14/AW12,0)</x:f>
        <x:v>0.42812296479498013</x:v>
      </x:c>
      <x:c r="AX19" s="41" t="n">
        <x:f>IFERROR(AX14/AX12,0)</x:f>
        <x:v>0.1541487045102237</x:v>
      </x:c>
      <x:c r="AY19" s="41" t="n">
        <x:f>IFERROR(AY14/AY12,0)</x:f>
        <x:v>0.024495864948412254</x:v>
      </x:c>
      <x:c r="AZ19" s="41" t="n">
        <x:f>IFERROR(AZ14/AZ12,0)</x:f>
        <x:v>0.02952060662100362</x:v>
      </x:c>
      <x:c r="BA19" s="41" t="n">
        <x:f>IFERROR(BA14/BA12,0)</x:f>
        <x:v>0.024495864948412254</x:v>
      </x:c>
      <x:c r="BB19" s="41" t="n">
        <x:f>IFERROR(BB14/BB12,0)</x:f>
        <x:v>0.3470225540131163</x:v>
      </x:c>
      <x:c r="BC19" s="41" t="n">
        <x:f>IFERROR(BC14/BC12,0)</x:f>
        <x:v>0.3470225540131163</x:v>
      </x:c>
      <x:c r="BD19" s="41" t="n">
        <x:f>IFERROR(BD14/BD12,0)</x:f>
        <x:v>0.024495864948412254</x:v>
      </x:c>
      <x:c r="BE19" s="41" t="n">
        <x:f>IFERROR(BE14/BE12,0)</x:f>
        <x:v>0.02952060662100362</x:v>
      </x:c>
      <x:c r="BF19" s="41" t="n">
        <x:f>IFERROR(BF14/BF12,0)</x:f>
        <x:v>0.024495864948412254</x:v>
      </x:c>
      <x:c r="BG19" s="41" t="n">
        <x:f>IFERROR(BG14/BG12,0)</x:f>
        <x:v>0.3470225540131163</x:v>
      </x:c>
      <x:c r="BH19" s="41" t="n">
        <x:f>IFERROR(BH14/BH12,0)</x:f>
        <x:v>0.43277554719405315</x:v>
      </x:c>
      <x:c r="BI19" s="41" t="n">
        <x:f>IFERROR(BI14/BI12,0)</x:f>
        <x:v>0.42812296479498013</x:v>
      </x:c>
      <x:c r="BJ19" s="41" t="n">
        <x:f>IFERROR(BJ14/BJ12,0)</x:f>
        <x:v>0.1541487045102237</x:v>
      </x:c>
    </x:row>
    <x:row r="20">
      <x:c r="A20" s="12" t="str">
        <x:v>マージン</x:v>
      </x:c>
      <x:c r="B20" s="12" t="str">
        <x:v>営業利益率</x:v>
      </x:c>
      <x:c r="C20" s="41" t="n">
        <x:f>IFERROR(C15/C12,0)</x:f>
        <x:v>-0.17623479465253516</x:v>
      </x:c>
      <x:c r="D20" s="41" t="n">
        <x:f>IFERROR(D15/D12,0)</x:f>
        <x:v>-0.16473487041217133</x:v>
      </x:c>
      <x:c r="E20" s="41" t="n">
        <x:f>IFERROR(E15/E12,0)</x:f>
        <x:v>-0.17623479465253516</x:v>
      </x:c>
      <x:c r="F20" s="41" t="n">
        <x:f>IFERROR(F15/F12,0)</x:f>
        <x:v>0.2637974133626287</x:v>
      </x:c>
      <x:c r="G20" s="41" t="n">
        <x:f>IFERROR(G15/G12,0)</x:f>
        <x:v>0.2637974133626287</x:v>
      </x:c>
      <x:c r="H20" s="41" t="n">
        <x:f>IFERROR(H15/H12,0)</x:f>
        <x:v>-0.17623479465253516</x:v>
      </x:c>
      <x:c r="I20" s="41" t="n">
        <x:f>IFERROR(I15/I12,0)</x:f>
        <x:v>-0.16473487041217133</x:v>
      </x:c>
      <x:c r="J20" s="41" t="n">
        <x:f>IFERROR(J15/J12,0)</x:f>
        <x:v>-0.17623479465253516</x:v>
      </x:c>
      <x:c r="K20" s="41" t="n">
        <x:f>IFERROR(K15/K12,0)</x:f>
        <x:v>0.2637974133626287</x:v>
      </x:c>
      <x:c r="L20" s="41" t="n">
        <x:f>IFERROR(L15/L12,0)</x:f>
        <x:v>0.3768166523598426</x:v>
      </x:c>
      <x:c r="M20" s="41" t="n">
        <x:f>IFERROR(M15/M12,0)</x:f>
        <x:v>0.36616847408567554</x:v>
      </x:c>
      <x:c r="N20" s="41" t="n">
        <x:f>IFERROR(N15/N12,0)</x:f>
        <x:v>0.006514541965010741</x:v>
      </x:c>
      <x:c r="O20" s="41" t="n">
        <x:f>IFERROR(O15/O12,0)</x:f>
        <x:v>-0.17623479465253516</x:v>
      </x:c>
      <x:c r="P20" s="41" t="n">
        <x:f>IFERROR(P15/P12,0)</x:f>
        <x:v>-0.16473487041217133</x:v>
      </x:c>
      <x:c r="Q20" s="41" t="n">
        <x:f>IFERROR(Q15/Q12,0)</x:f>
        <x:v>-0.17623479465253516</x:v>
      </x:c>
      <x:c r="R20" s="41" t="n">
        <x:f>IFERROR(R15/R12,0)</x:f>
        <x:v>0.2637974133626287</x:v>
      </x:c>
      <x:c r="S20" s="41" t="n">
        <x:f>IFERROR(S15/S12,0)</x:f>
        <x:v>0.2637974133626287</x:v>
      </x:c>
      <x:c r="T20" s="41" t="n">
        <x:f>IFERROR(T15/T12,0)</x:f>
        <x:v>-0.17623479465253516</x:v>
      </x:c>
      <x:c r="U20" s="41" t="n">
        <x:f>IFERROR(U15/U12,0)</x:f>
        <x:v>-0.16473487041217133</x:v>
      </x:c>
      <x:c r="V20" s="41" t="n">
        <x:f>IFERROR(V15/V12,0)</x:f>
        <x:v>-0.17623479465253516</x:v>
      </x:c>
      <x:c r="W20" s="41" t="n">
        <x:f>IFERROR(W15/W12,0)</x:f>
        <x:v>0.2637974133626287</x:v>
      </x:c>
      <x:c r="X20" s="41" t="n">
        <x:f>IFERROR(X15/X12,0)</x:f>
        <x:v>0.3768166523598426</x:v>
      </x:c>
      <x:c r="Y20" s="41" t="n">
        <x:f>IFERROR(Y15/Y12,0)</x:f>
        <x:v>0.3699626525511833</x:v>
      </x:c>
      <x:c r="Z20" s="41" t="n">
        <x:f>IFERROR(Z15/Z12,0)</x:f>
        <x:v>0.006514541965010741</x:v>
      </x:c>
      <x:c r="AA20" s="41" t="n">
        <x:f>IFERROR(AA15/AA12,0)</x:f>
        <x:v>-0.17623479465253516</x:v>
      </x:c>
      <x:c r="AB20" s="41" t="n">
        <x:f>IFERROR(AB15/AB12,0)</x:f>
        <x:v>-0.16473487041217133</x:v>
      </x:c>
      <x:c r="AC20" s="41" t="n">
        <x:f>IFERROR(AC15/AC12,0)</x:f>
        <x:v>-0.17623479465253516</x:v>
      </x:c>
      <x:c r="AD20" s="41" t="n">
        <x:f>IFERROR(AD15/AD12,0)</x:f>
        <x:v>0.2637974133626287</x:v>
      </x:c>
      <x:c r="AE20" s="41" t="n">
        <x:f>IFERROR(AE15/AE12,0)</x:f>
        <x:v>0.2637974133626287</x:v>
      </x:c>
      <x:c r="AF20" s="41" t="n">
        <x:f>IFERROR(AF15/AF12,0)</x:f>
        <x:v>-0.17623479465253516</x:v>
      </x:c>
      <x:c r="AG20" s="41" t="n">
        <x:f>IFERROR(AG15/AG12,0)</x:f>
        <x:v>-0.16473487041217133</x:v>
      </x:c>
      <x:c r="AH20" s="41" t="n">
        <x:f>IFERROR(AH15/AH12,0)</x:f>
        <x:v>-0.17623479465253516</x:v>
      </x:c>
      <x:c r="AI20" s="41" t="n">
        <x:f>IFERROR(AI15/AI12,0)</x:f>
        <x:v>0.2637974133626287</x:v>
      </x:c>
      <x:c r="AJ20" s="41" t="n">
        <x:f>IFERROR(AJ15/AJ12,0)</x:f>
        <x:v>0.3768166523598426</x:v>
      </x:c>
      <x:c r="AK20" s="41" t="n">
        <x:f>IFERROR(AK15/AK12,0)</x:f>
        <x:v>0.36616847408567554</x:v>
      </x:c>
      <x:c r="AL20" s="41" t="n">
        <x:f>IFERROR(AL15/AL12,0)</x:f>
        <x:v>0.006514541965010741</x:v>
      </x:c>
      <x:c r="AM20" s="41" t="n">
        <x:f>IFERROR(AM15/AM12,0)</x:f>
        <x:v>-0.17623479465253516</x:v>
      </x:c>
      <x:c r="AN20" s="41" t="n">
        <x:f>IFERROR(AN15/AN12,0)</x:f>
        <x:v>-0.16473487041217133</x:v>
      </x:c>
      <x:c r="AO20" s="41" t="n">
        <x:f>IFERROR(AO15/AO12,0)</x:f>
        <x:v>-0.17623479465253516</x:v>
      </x:c>
      <x:c r="AP20" s="41" t="n">
        <x:f>IFERROR(AP15/AP12,0)</x:f>
        <x:v>0.2637974133626287</x:v>
      </x:c>
      <x:c r="AQ20" s="41" t="n">
        <x:f>IFERROR(AQ15/AQ12,0)</x:f>
        <x:v>0.2637974133626287</x:v>
      </x:c>
      <x:c r="AR20" s="41" t="n">
        <x:f>IFERROR(AR15/AR12,0)</x:f>
        <x:v>-0.17623479465253516</x:v>
      </x:c>
      <x:c r="AS20" s="41" t="n">
        <x:f>IFERROR(AS15/AS12,0)</x:f>
        <x:v>-0.16473487041217133</x:v>
      </x:c>
      <x:c r="AT20" s="41" t="n">
        <x:f>IFERROR(AT15/AT12,0)</x:f>
        <x:v>-0.17623479465253516</x:v>
      </x:c>
      <x:c r="AU20" s="41" t="n">
        <x:f>IFERROR(AU15/AU12,0)</x:f>
        <x:v>0.2637974133626287</x:v>
      </x:c>
      <x:c r="AV20" s="41" t="n">
        <x:f>IFERROR(AV15/AV12,0)</x:f>
        <x:v>0.3768166523598426</x:v>
      </x:c>
      <x:c r="AW20" s="41" t="n">
        <x:f>IFERROR(AW15/AW12,0)</x:f>
        <x:v>0.36616847408567554</x:v>
      </x:c>
      <x:c r="AX20" s="41" t="n">
        <x:f>IFERROR(AX15/AX12,0)</x:f>
        <x:v>0.006514541965010741</x:v>
      </x:c>
      <x:c r="AY20" s="41" t="n">
        <x:f>IFERROR(AY15/AY12,0)</x:f>
        <x:v>-0.17623479465253516</x:v>
      </x:c>
      <x:c r="AZ20" s="41" t="n">
        <x:f>IFERROR(AZ15/AZ12,0)</x:f>
        <x:v>-0.16473487041217133</x:v>
      </x:c>
      <x:c r="BA20" s="41" t="n">
        <x:f>IFERROR(BA15/BA12,0)</x:f>
        <x:v>-0.17623479465253516</x:v>
      </x:c>
      <x:c r="BB20" s="41" t="n">
        <x:f>IFERROR(BB15/BB12,0)</x:f>
        <x:v>0.2637974133626287</x:v>
      </x:c>
      <x:c r="BC20" s="41" t="n">
        <x:f>IFERROR(BC15/BC12,0)</x:f>
        <x:v>0.2637974133626287</x:v>
      </x:c>
      <x:c r="BD20" s="41" t="n">
        <x:f>IFERROR(BD15/BD12,0)</x:f>
        <x:v>-0.17623479465253516</x:v>
      </x:c>
      <x:c r="BE20" s="41" t="n">
        <x:f>IFERROR(BE15/BE12,0)</x:f>
        <x:v>-0.16473487041217133</x:v>
      </x:c>
      <x:c r="BF20" s="41" t="n">
        <x:f>IFERROR(BF15/BF12,0)</x:f>
        <x:v>-0.17623479465253516</x:v>
      </x:c>
      <x:c r="BG20" s="41" t="n">
        <x:f>IFERROR(BG15/BG12,0)</x:f>
        <x:v>0.2637974133626287</x:v>
      </x:c>
      <x:c r="BH20" s="41" t="n">
        <x:f>IFERROR(BH15/BH12,0)</x:f>
        <x:v>0.3768166523598426</x:v>
      </x:c>
      <x:c r="BI20" s="41" t="n">
        <x:f>IFERROR(BI15/BI12,0)</x:f>
        <x:v>0.36616847408567554</x:v>
      </x:c>
      <x:c r="BJ20" s="41" t="n">
        <x:f>IFERROR(BJ15/BJ12,0)</x:f>
        <x:v>0.006514541965010741</x:v>
      </x:c>
    </x:row>
    <x:row r="21">
      <x:c r="A21" s="12" t="str">
        <x:v>マージン</x:v>
      </x:c>
      <x:c r="B21" s="12" t="str">
        <x:v>経常利益率</x:v>
      </x:c>
      <x:c r="C21" s="41" t="n">
        <x:f>IFERROR(C16/C12,0)</x:f>
        <x:v>-0.19383218247755157</x:v>
      </x:c>
      <x:c r="D21" s="41" t="n">
        <x:f>IFERROR(D16/D12,0)</x:f>
        <x:v>-0.181764600565413</x:v>
      </x:c>
      <x:c r="E21" s="41" t="n">
        <x:f>IFERROR(E16/E12,0)</x:f>
        <x:v>-0.19383218247755157</x:v>
      </x:c>
      <x:c r="F21" s="41" t="n">
        <x:f>IFERROR(F16/F12,0)</x:f>
        <x:v>0.25650134269893593</x:v>
      </x:c>
      <x:c r="G21" s="41" t="n">
        <x:f>IFERROR(G16/G12,0)</x:f>
        <x:v>0.25650134269893593</x:v>
      </x:c>
      <x:c r="H21" s="41" t="n">
        <x:f>IFERROR(H16/H12,0)</x:f>
        <x:v>-0.19383218247755157</x:v>
      </x:c>
      <x:c r="I21" s="41" t="n">
        <x:f>IFERROR(I16/I12,0)</x:f>
        <x:v>-0.181764600565413</x:v>
      </x:c>
      <x:c r="J21" s="41" t="n">
        <x:f>IFERROR(J16/J12,0)</x:f>
        <x:v>-0.19383218247755157</x:v>
      </x:c>
      <x:c r="K21" s="41" t="n">
        <x:f>IFERROR(K16/K12,0)</x:f>
        <x:v>0.25650134269893593</x:v>
      </x:c>
      <x:c r="L21" s="41" t="n">
        <x:f>IFERROR(L16/L12,0)</x:f>
        <x:v>0.37191092257937675</x:v>
      </x:c>
      <x:c r="M21" s="41" t="n">
        <x:f>IFERROR(M16/M12,0)</x:f>
        <x:v>0.36073713040015987</x:v>
      </x:c>
      <x:c r="N21" s="41" t="n">
        <x:f>IFERROR(N16/N12,0)</x:f>
        <x:v>-0.0064280529514529295</x:v>
      </x:c>
      <x:c r="O21" s="41" t="n">
        <x:f>IFERROR(O16/O12,0)</x:f>
        <x:v>-0.19383218247755157</x:v>
      </x:c>
      <x:c r="P21" s="41" t="n">
        <x:f>IFERROR(P16/P12,0)</x:f>
        <x:v>-0.181764600565413</x:v>
      </x:c>
      <x:c r="Q21" s="41" t="n">
        <x:f>IFERROR(Q16/Q12,0)</x:f>
        <x:v>-0.19383218247755157</x:v>
      </x:c>
      <x:c r="R21" s="41" t="n">
        <x:f>IFERROR(R16/R12,0)</x:f>
        <x:v>0.25650134269893593</x:v>
      </x:c>
      <x:c r="S21" s="41" t="n">
        <x:f>IFERROR(S16/S12,0)</x:f>
        <x:v>0.25650134269893593</x:v>
      </x:c>
      <x:c r="T21" s="41" t="n">
        <x:f>IFERROR(T16/T12,0)</x:f>
        <x:v>-0.19383218247755157</x:v>
      </x:c>
      <x:c r="U21" s="41" t="n">
        <x:f>IFERROR(U16/U12,0)</x:f>
        <x:v>-0.181764600565413</x:v>
      </x:c>
      <x:c r="V21" s="41" t="n">
        <x:f>IFERROR(V16/V12,0)</x:f>
        <x:v>-0.19383218247755157</x:v>
      </x:c>
      <x:c r="W21" s="41" t="n">
        <x:f>IFERROR(W16/W12,0)</x:f>
        <x:v>0.25650134269893593</x:v>
      </x:c>
      <x:c r="X21" s="41" t="n">
        <x:f>IFERROR(X16/X12,0)</x:f>
        <x:v>0.37191092257937675</x:v>
      </x:c>
      <x:c r="Y21" s="41" t="n">
        <x:f>IFERROR(Y16/Y12,0)</x:f>
        <x:v>0.3647185965789612</x:v>
      </x:c>
      <x:c r="Z21" s="41" t="n">
        <x:f>IFERROR(Z16/Z12,0)</x:f>
        <x:v>-0.0064280529514529295</x:v>
      </x:c>
      <x:c r="AA21" s="41" t="n">
        <x:f>IFERROR(AA16/AA12,0)</x:f>
        <x:v>-0.19383218247755157</x:v>
      </x:c>
      <x:c r="AB21" s="41" t="n">
        <x:f>IFERROR(AB16/AB12,0)</x:f>
        <x:v>-0.181764600565413</x:v>
      </x:c>
      <x:c r="AC21" s="41" t="n">
        <x:f>IFERROR(AC16/AC12,0)</x:f>
        <x:v>-0.19383218247755157</x:v>
      </x:c>
      <x:c r="AD21" s="41" t="n">
        <x:f>IFERROR(AD16/AD12,0)</x:f>
        <x:v>0.25650134269893593</x:v>
      </x:c>
      <x:c r="AE21" s="41" t="n">
        <x:f>IFERROR(AE16/AE12,0)</x:f>
        <x:v>0.25650134269893593</x:v>
      </x:c>
      <x:c r="AF21" s="41" t="n">
        <x:f>IFERROR(AF16/AF12,0)</x:f>
        <x:v>-0.19383218247755157</x:v>
      </x:c>
      <x:c r="AG21" s="41" t="n">
        <x:f>IFERROR(AG16/AG12,0)</x:f>
        <x:v>-0.181764600565413</x:v>
      </x:c>
      <x:c r="AH21" s="41" t="n">
        <x:f>IFERROR(AH16/AH12,0)</x:f>
        <x:v>-0.19383218247755157</x:v>
      </x:c>
      <x:c r="AI21" s="41" t="n">
        <x:f>IFERROR(AI16/AI12,0)</x:f>
        <x:v>0.25650134269893593</x:v>
      </x:c>
      <x:c r="AJ21" s="41" t="n">
        <x:f>IFERROR(AJ16/AJ12,0)</x:f>
        <x:v>0.37191092257937675</x:v>
      </x:c>
      <x:c r="AK21" s="41" t="n">
        <x:f>IFERROR(AK16/AK12,0)</x:f>
        <x:v>0.36073713040015987</x:v>
      </x:c>
      <x:c r="AL21" s="41" t="n">
        <x:f>IFERROR(AL16/AL12,0)</x:f>
        <x:v>-0.0064280529514529295</x:v>
      </x:c>
      <x:c r="AM21" s="41" t="n">
        <x:f>IFERROR(AM16/AM12,0)</x:f>
        <x:v>-0.19383218247755157</x:v>
      </x:c>
      <x:c r="AN21" s="41" t="n">
        <x:f>IFERROR(AN16/AN12,0)</x:f>
        <x:v>-0.181764600565413</x:v>
      </x:c>
      <x:c r="AO21" s="41" t="n">
        <x:f>IFERROR(AO16/AO12,0)</x:f>
        <x:v>-0.19383218247755157</x:v>
      </x:c>
      <x:c r="AP21" s="41" t="n">
        <x:f>IFERROR(AP16/AP12,0)</x:f>
        <x:v>0.25650134269893593</x:v>
      </x:c>
      <x:c r="AQ21" s="41" t="n">
        <x:f>IFERROR(AQ16/AQ12,0)</x:f>
        <x:v>0.25650134269893593</x:v>
      </x:c>
      <x:c r="AR21" s="41" t="n">
        <x:f>IFERROR(AR16/AR12,0)</x:f>
        <x:v>-0.19383218247755157</x:v>
      </x:c>
      <x:c r="AS21" s="41" t="n">
        <x:f>IFERROR(AS16/AS12,0)</x:f>
        <x:v>-0.181764600565413</x:v>
      </x:c>
      <x:c r="AT21" s="41" t="n">
        <x:f>IFERROR(AT16/AT12,0)</x:f>
        <x:v>-0.19383218247755157</x:v>
      </x:c>
      <x:c r="AU21" s="41" t="n">
        <x:f>IFERROR(AU16/AU12,0)</x:f>
        <x:v>0.25650134269893593</x:v>
      </x:c>
      <x:c r="AV21" s="41" t="n">
        <x:f>IFERROR(AV16/AV12,0)</x:f>
        <x:v>0.37191092257937675</x:v>
      </x:c>
      <x:c r="AW21" s="41" t="n">
        <x:f>IFERROR(AW16/AW12,0)</x:f>
        <x:v>0.36073713040015987</x:v>
      </x:c>
      <x:c r="AX21" s="41" t="n">
        <x:f>IFERROR(AX16/AX12,0)</x:f>
        <x:v>-0.0064280529514529295</x:v>
      </x:c>
      <x:c r="AY21" s="41" t="n">
        <x:f>IFERROR(AY16/AY12,0)</x:f>
        <x:v>-0.19383218247755157</x:v>
      </x:c>
      <x:c r="AZ21" s="41" t="n">
        <x:f>IFERROR(AZ16/AZ12,0)</x:f>
        <x:v>-0.181764600565413</x:v>
      </x:c>
      <x:c r="BA21" s="41" t="n">
        <x:f>IFERROR(BA16/BA12,0)</x:f>
        <x:v>-0.19383218247755157</x:v>
      </x:c>
      <x:c r="BB21" s="41" t="n">
        <x:f>IFERROR(BB16/BB12,0)</x:f>
        <x:v>0.25650134269893593</x:v>
      </x:c>
      <x:c r="BC21" s="41" t="n">
        <x:f>IFERROR(BC16/BC12,0)</x:f>
        <x:v>0.25650134269893593</x:v>
      </x:c>
      <x:c r="BD21" s="41" t="n">
        <x:f>IFERROR(BD16/BD12,0)</x:f>
        <x:v>-0.19383218247755157</x:v>
      </x:c>
      <x:c r="BE21" s="41" t="n">
        <x:f>IFERROR(BE16/BE12,0)</x:f>
        <x:v>-0.181764600565413</x:v>
      </x:c>
      <x:c r="BF21" s="41" t="n">
        <x:f>IFERROR(BF16/BF12,0)</x:f>
        <x:v>-0.19383218247755157</x:v>
      </x:c>
      <x:c r="BG21" s="41" t="n">
        <x:f>IFERROR(BG16/BG12,0)</x:f>
        <x:v>0.25650134269893593</x:v>
      </x:c>
      <x:c r="BH21" s="41" t="n">
        <x:f>IFERROR(BH16/BH12,0)</x:f>
        <x:v>0.37191092257937675</x:v>
      </x:c>
      <x:c r="BI21" s="41" t="n">
        <x:f>IFERROR(BI16/BI12,0)</x:f>
        <x:v>0.36073713040015987</x:v>
      </x:c>
      <x:c r="BJ21" s="41" t="n">
        <x:f>IFERROR(BJ16/BJ12,0)</x:f>
        <x:v>-0.0064280529514529295</x:v>
      </x:c>
    </x:row>
    <x:row r="22">
      <x:c r="A22" s="12" t="str">
        <x:v>マージン</x:v>
      </x:c>
      <x:c r="B22" s="12" t="str">
        <x:v>当期純利益率</x:v>
      </x:c>
      <x:c r="C22" s="41" t="n">
        <x:f>IFERROR(C17/C12,0)</x:f>
        <x:v>-0.2237316164170915</x:v>
      </x:c>
      <x:c r="D22" s="41" t="n">
        <x:f>IFERROR(D17/D12,0)</x:f>
        <x:v>-0.21275186517633868</x:v>
      </x:c>
      <x:c r="E22" s="41" t="n">
        <x:f>IFERROR(E17/E12,0)</x:f>
        <x:v>-0.2237316164170915</x:v>
      </x:c>
      <x:c r="F22" s="41" t="n">
        <x:f>IFERROR(F17/F12,0)</x:f>
        <x:v>0.1252107205077844</x:v>
      </x:c>
      <x:c r="G22" s="41" t="n">
        <x:f>IFERROR(G17/G12,0)</x:f>
        <x:v>0.1252107205077844</x:v>
      </x:c>
      <x:c r="H22" s="41" t="n">
        <x:f>IFERROR(H17/H12,0)</x:f>
        <x:v>-0.2237316164170915</x:v>
      </x:c>
      <x:c r="I22" s="41" t="n">
        <x:f>IFERROR(I17/I12,0)</x:f>
        <x:v>-0.21275186517633868</x:v>
      </x:c>
      <x:c r="J22" s="41" t="n">
        <x:f>IFERROR(J17/J12,0)</x:f>
        <x:v>-0.2237316164170915</x:v>
      </x:c>
      <x:c r="K22" s="41" t="n">
        <x:f>IFERROR(K17/K12,0)</x:f>
        <x:v>0.1252107205077844</x:v>
      </x:c>
      <x:c r="L22" s="41" t="n">
        <x:f>IFERROR(L17/L12,0)</x:f>
        <x:v>0.21324155235197098</x:v>
      </x:c>
      <x:c r="M22" s="41" t="n">
        <x:f>IFERROR(M17/M12,0)</x:f>
        <x:v>0.2030750202797699</x:v>
      </x:c>
      <x:c r="N22" s="41" t="n">
        <x:f>IFERROR(N17/N12,0)</x:f>
        <x:v>-0.07646533057749559</x:v>
      </x:c>
      <x:c r="O22" s="41" t="n">
        <x:f>IFERROR(O17/O12,0)</x:f>
        <x:v>-0.2237316164170915</x:v>
      </x:c>
      <x:c r="P22" s="41" t="n">
        <x:f>IFERROR(P17/P12,0)</x:f>
        <x:v>-0.21275186517633868</x:v>
      </x:c>
      <x:c r="Q22" s="41" t="n">
        <x:f>IFERROR(Q17/Q12,0)</x:f>
        <x:v>-0.2237316164170915</x:v>
      </x:c>
      <x:c r="R22" s="41" t="n">
        <x:f>IFERROR(R17/R12,0)</x:f>
        <x:v>0.1252107205077844</x:v>
      </x:c>
      <x:c r="S22" s="41" t="n">
        <x:f>IFERROR(S17/S12,0)</x:f>
        <x:v>0.1252107205077844</x:v>
      </x:c>
      <x:c r="T22" s="41" t="n">
        <x:f>IFERROR(T17/T12,0)</x:f>
        <x:v>-0.2237316164170915</x:v>
      </x:c>
      <x:c r="U22" s="41" t="n">
        <x:f>IFERROR(U17/U12,0)</x:f>
        <x:v>-0.21275186517633868</x:v>
      </x:c>
      <x:c r="V22" s="41" t="n">
        <x:f>IFERROR(V17/V12,0)</x:f>
        <x:v>-0.2237316164170915</x:v>
      </x:c>
      <x:c r="W22" s="41" t="n">
        <x:f>IFERROR(W17/W12,0)</x:f>
        <x:v>0.1252107205077844</x:v>
      </x:c>
      <x:c r="X22" s="41" t="n">
        <x:f>IFERROR(X17/X12,0)</x:f>
        <x:v>0.21324155235197098</x:v>
      </x:c>
      <x:c r="Y22" s="41" t="n">
        <x:f>IFERROR(Y17/Y12,0)</x:f>
        <x:v>0.20669757768480704</x:v>
      </x:c>
      <x:c r="Z22" s="41" t="n">
        <x:f>IFERROR(Z17/Z12,0)</x:f>
        <x:v>-0.07646533057749559</x:v>
      </x:c>
      <x:c r="AA22" s="41" t="n">
        <x:f>IFERROR(AA17/AA12,0)</x:f>
        <x:v>-0.2237316164170915</x:v>
      </x:c>
      <x:c r="AB22" s="41" t="n">
        <x:f>IFERROR(AB17/AB12,0)</x:f>
        <x:v>-0.21275186517633868</x:v>
      </x:c>
      <x:c r="AC22" s="41" t="n">
        <x:f>IFERROR(AC17/AC12,0)</x:f>
        <x:v>-0.2237316164170915</x:v>
      </x:c>
      <x:c r="AD22" s="41" t="n">
        <x:f>IFERROR(AD17/AD12,0)</x:f>
        <x:v>0.1252107205077844</x:v>
      </x:c>
      <x:c r="AE22" s="41" t="n">
        <x:f>IFERROR(AE17/AE12,0)</x:f>
        <x:v>0.1252107205077844</x:v>
      </x:c>
      <x:c r="AF22" s="41" t="n">
        <x:f>IFERROR(AF17/AF12,0)</x:f>
        <x:v>-0.2237316164170915</x:v>
      </x:c>
      <x:c r="AG22" s="41" t="n">
        <x:f>IFERROR(AG17/AG12,0)</x:f>
        <x:v>-0.21275186517633868</x:v>
      </x:c>
      <x:c r="AH22" s="41" t="n">
        <x:f>IFERROR(AH17/AH12,0)</x:f>
        <x:v>-0.2237316164170915</x:v>
      </x:c>
      <x:c r="AI22" s="41" t="n">
        <x:f>IFERROR(AI17/AI12,0)</x:f>
        <x:v>0.1252107205077844</x:v>
      </x:c>
      <x:c r="AJ22" s="41" t="n">
        <x:f>IFERROR(AJ17/AJ12,0)</x:f>
        <x:v>0.21324155235197098</x:v>
      </x:c>
      <x:c r="AK22" s="41" t="n">
        <x:f>IFERROR(AK17/AK12,0)</x:f>
        <x:v>0.2030750202797699</x:v>
      </x:c>
      <x:c r="AL22" s="41" t="n">
        <x:f>IFERROR(AL17/AL12,0)</x:f>
        <x:v>-0.07646533057749559</x:v>
      </x:c>
      <x:c r="AM22" s="41" t="n">
        <x:f>IFERROR(AM17/AM12,0)</x:f>
        <x:v>-0.2237316164170915</x:v>
      </x:c>
      <x:c r="AN22" s="41" t="n">
        <x:f>IFERROR(AN17/AN12,0)</x:f>
        <x:v>-0.21275186517633868</x:v>
      </x:c>
      <x:c r="AO22" s="41" t="n">
        <x:f>IFERROR(AO17/AO12,0)</x:f>
        <x:v>-0.2237316164170915</x:v>
      </x:c>
      <x:c r="AP22" s="41" t="n">
        <x:f>IFERROR(AP17/AP12,0)</x:f>
        <x:v>0.1252107205077844</x:v>
      </x:c>
      <x:c r="AQ22" s="41" t="n">
        <x:f>IFERROR(AQ17/AQ12,0)</x:f>
        <x:v>0.1252107205077844</x:v>
      </x:c>
      <x:c r="AR22" s="41" t="n">
        <x:f>IFERROR(AR17/AR12,0)</x:f>
        <x:v>-0.2237316164170915</x:v>
      </x:c>
      <x:c r="AS22" s="41" t="n">
        <x:f>IFERROR(AS17/AS12,0)</x:f>
        <x:v>-0.21275186517633868</x:v>
      </x:c>
      <x:c r="AT22" s="41" t="n">
        <x:f>IFERROR(AT17/AT12,0)</x:f>
        <x:v>-0.2237316164170915</x:v>
      </x:c>
      <x:c r="AU22" s="41" t="n">
        <x:f>IFERROR(AU17/AU12,0)</x:f>
        <x:v>0.1252107205077844</x:v>
      </x:c>
      <x:c r="AV22" s="41" t="n">
        <x:f>IFERROR(AV17/AV12,0)</x:f>
        <x:v>0.21324155235197098</x:v>
      </x:c>
      <x:c r="AW22" s="41" t="n">
        <x:f>IFERROR(AW17/AW12,0)</x:f>
        <x:v>0.2030750202797699</x:v>
      </x:c>
      <x:c r="AX22" s="41" t="n">
        <x:f>IFERROR(AX17/AX12,0)</x:f>
        <x:v>-0.07646533057749559</x:v>
      </x:c>
      <x:c r="AY22" s="41" t="n">
        <x:f>IFERROR(AY17/AY12,0)</x:f>
        <x:v>-0.2237316164170915</x:v>
      </x:c>
      <x:c r="AZ22" s="41" t="n">
        <x:f>IFERROR(AZ17/AZ12,0)</x:f>
        <x:v>-0.21275186517633868</x:v>
      </x:c>
      <x:c r="BA22" s="41" t="n">
        <x:f>IFERROR(BA17/BA12,0)</x:f>
        <x:v>-0.2237316164170915</x:v>
      </x:c>
      <x:c r="BB22" s="41" t="n">
        <x:f>IFERROR(BB17/BB12,0)</x:f>
        <x:v>0.1252107205077844</x:v>
      </x:c>
      <x:c r="BC22" s="41" t="n">
        <x:f>IFERROR(BC17/BC12,0)</x:f>
        <x:v>0.1252107205077844</x:v>
      </x:c>
      <x:c r="BD22" s="41" t="n">
        <x:f>IFERROR(BD17/BD12,0)</x:f>
        <x:v>-0.2237316164170915</x:v>
      </x:c>
      <x:c r="BE22" s="41" t="n">
        <x:f>IFERROR(BE17/BE12,0)</x:f>
        <x:v>-0.21275186517633868</x:v>
      </x:c>
      <x:c r="BF22" s="41" t="n">
        <x:f>IFERROR(BF17/BF12,0)</x:f>
        <x:v>-0.2237316164170915</x:v>
      </x:c>
      <x:c r="BG22" s="41" t="n">
        <x:f>IFERROR(BG17/BG12,0)</x:f>
        <x:v>0.1252107205077844</x:v>
      </x:c>
      <x:c r="BH22" s="41" t="n">
        <x:f>IFERROR(BH17/BH12,0)</x:f>
        <x:v>0.21324155235197098</x:v>
      </x:c>
      <x:c r="BI22" s="41" t="n">
        <x:f>IFERROR(BI17/BI12,0)</x:f>
        <x:v>0.2030750202797699</x:v>
      </x:c>
      <x:c r="BJ22" s="41" t="n">
        <x:f>IFERROR(BJ17/BJ12,0)</x:f>
        <x:v>-0.07646533057749559</x:v>
      </x:c>
    </x:row>
    <x:row r="23">
      <x:c r="A23" s="12" t="str">
        <x:v>マージン</x:v>
      </x:c>
      <x:c r="B23" s="12" t="str">
        <x:v>人件費率</x:v>
      </x:c>
      <x:c r="C23" s="41" t="n">
        <x:f>IFERROR('06_PL'!C18/C12,0)</x:f>
        <x:v>0.43357822473804647</x:v>
      </x:c>
      <x:c r="D23" s="41" t="n">
        <x:f>IFERROR('06_PL'!D18/D12,0)</x:f>
        <x:v>0.4335782247380465</x:v>
      </x:c>
      <x:c r="E23" s="41" t="n">
        <x:f>IFERROR('06_PL'!E18/E12,0)</x:f>
        <x:v>0.43357822473804647</x:v>
      </x:c>
      <x:c r="F23" s="41" t="n">
        <x:f>IFERROR('06_PL'!F18/F12,0)</x:f>
        <x:v>0.18575851393188852</x:v>
      </x:c>
      <x:c r="G23" s="41" t="n">
        <x:f>IFERROR('06_PL'!G18/G12,0)</x:f>
        <x:v>0.18575851393188852</x:v>
      </x:c>
      <x:c r="H23" s="41" t="n">
        <x:f>IFERROR('06_PL'!H18/H12,0)</x:f>
        <x:v>0.43357822473804647</x:v>
      </x:c>
      <x:c r="I23" s="41" t="n">
        <x:f>IFERROR('06_PL'!I18/I12,0)</x:f>
        <x:v>0.4335782247380465</x:v>
      </x:c>
      <x:c r="J23" s="41" t="n">
        <x:f>IFERROR('06_PL'!J18/J12,0)</x:f>
        <x:v>0.43357822473804647</x:v>
      </x:c>
      <x:c r="K23" s="41" t="n">
        <x:f>IFERROR('06_PL'!K18/K12,0)</x:f>
        <x:v>0.18575851393188852</x:v>
      </x:c>
      <x:c r="L23" s="41" t="n">
        <x:f>IFERROR('06_PL'!L18/L12,0)</x:f>
        <x:v>0.12490025326995803</x:v>
      </x:c>
      <x:c r="M23" s="41" t="n">
        <x:f>IFERROR('06_PL'!M18/M12,0)</x:f>
        <x:v>0.12490025326995804</x:v>
      </x:c>
      <x:c r="N23" s="41" t="n">
        <x:f>IFERROR('06_PL'!N18/N12,0)</x:f>
        <x:v>0.3295194508009153</x:v>
      </x:c>
      <x:c r="O23" s="41" t="n">
        <x:f>IFERROR('06_PL'!O18/O12,0)</x:f>
        <x:v>0.43357822473804647</x:v>
      </x:c>
      <x:c r="P23" s="41" t="n">
        <x:f>IFERROR('06_PL'!P18/P12,0)</x:f>
        <x:v>0.4335782247380465</x:v>
      </x:c>
      <x:c r="Q23" s="41" t="n">
        <x:f>IFERROR('06_PL'!Q18/Q12,0)</x:f>
        <x:v>0.43357822473804647</x:v>
      </x:c>
      <x:c r="R23" s="41" t="n">
        <x:f>IFERROR('06_PL'!R18/R12,0)</x:f>
        <x:v>0.18575851393188852</x:v>
      </x:c>
      <x:c r="S23" s="41" t="n">
        <x:f>IFERROR('06_PL'!S18/S12,0)</x:f>
        <x:v>0.18575851393188852</x:v>
      </x:c>
      <x:c r="T23" s="41" t="n">
        <x:f>IFERROR('06_PL'!T18/T12,0)</x:f>
        <x:v>0.43357822473804647</x:v>
      </x:c>
      <x:c r="U23" s="41" t="n">
        <x:f>IFERROR('06_PL'!U18/U12,0)</x:f>
        <x:v>0.4335782247380465</x:v>
      </x:c>
      <x:c r="V23" s="41" t="n">
        <x:f>IFERROR('06_PL'!V18/V12,0)</x:f>
        <x:v>0.43357822473804647</x:v>
      </x:c>
      <x:c r="W23" s="41" t="n">
        <x:f>IFERROR('06_PL'!W18/W12,0)</x:f>
        <x:v>0.18575851393188852</x:v>
      </x:c>
      <x:c r="X23" s="41" t="n">
        <x:f>IFERROR('06_PL'!X18/X12,0)</x:f>
        <x:v>0.12490025326995803</x:v>
      </x:c>
      <x:c r="Y23" s="41" t="n">
        <x:f>IFERROR('06_PL'!Y18/Y12,0)</x:f>
        <x:v>0.12490025326995802</x:v>
      </x:c>
      <x:c r="Z23" s="41" t="n">
        <x:f>IFERROR('06_PL'!Z18/Z12,0)</x:f>
        <x:v>0.3295194508009153</x:v>
      </x:c>
      <x:c r="AA23" s="41" t="n">
        <x:f>IFERROR('06_PL'!AA18/AA12,0)</x:f>
        <x:v>0.43357822473804647</x:v>
      </x:c>
      <x:c r="AB23" s="41" t="n">
        <x:f>IFERROR('06_PL'!AB18/AB12,0)</x:f>
        <x:v>0.4335782247380465</x:v>
      </x:c>
      <x:c r="AC23" s="41" t="n">
        <x:f>IFERROR('06_PL'!AC18/AC12,0)</x:f>
        <x:v>0.43357822473804647</x:v>
      </x:c>
      <x:c r="AD23" s="41" t="n">
        <x:f>IFERROR('06_PL'!AD18/AD12,0)</x:f>
        <x:v>0.18575851393188852</x:v>
      </x:c>
      <x:c r="AE23" s="41" t="n">
        <x:f>IFERROR('06_PL'!AE18/AE12,0)</x:f>
        <x:v>0.18575851393188852</x:v>
      </x:c>
      <x:c r="AF23" s="41" t="n">
        <x:f>IFERROR('06_PL'!AF18/AF12,0)</x:f>
        <x:v>0.43357822473804647</x:v>
      </x:c>
      <x:c r="AG23" s="41" t="n">
        <x:f>IFERROR('06_PL'!AG18/AG12,0)</x:f>
        <x:v>0.4335782247380465</x:v>
      </x:c>
      <x:c r="AH23" s="41" t="n">
        <x:f>IFERROR('06_PL'!AH18/AH12,0)</x:f>
        <x:v>0.43357822473804647</x:v>
      </x:c>
      <x:c r="AI23" s="41" t="n">
        <x:f>IFERROR('06_PL'!AI18/AI12,0)</x:f>
        <x:v>0.18575851393188852</x:v>
      </x:c>
      <x:c r="AJ23" s="41" t="n">
        <x:f>IFERROR('06_PL'!AJ18/AJ12,0)</x:f>
        <x:v>0.12490025326995803</x:v>
      </x:c>
      <x:c r="AK23" s="41" t="n">
        <x:f>IFERROR('06_PL'!AK18/AK12,0)</x:f>
        <x:v>0.12490025326995804</x:v>
      </x:c>
      <x:c r="AL23" s="41" t="n">
        <x:f>IFERROR('06_PL'!AL18/AL12,0)</x:f>
        <x:v>0.3295194508009153</x:v>
      </x:c>
      <x:c r="AM23" s="41" t="n">
        <x:f>IFERROR('06_PL'!AM18/AM12,0)</x:f>
        <x:v>0.43357822473804647</x:v>
      </x:c>
      <x:c r="AN23" s="41" t="n">
        <x:f>IFERROR('06_PL'!AN18/AN12,0)</x:f>
        <x:v>0.4335782247380465</x:v>
      </x:c>
      <x:c r="AO23" s="41" t="n">
        <x:f>IFERROR('06_PL'!AO18/AO12,0)</x:f>
        <x:v>0.43357822473804647</x:v>
      </x:c>
      <x:c r="AP23" s="41" t="n">
        <x:f>IFERROR('06_PL'!AP18/AP12,0)</x:f>
        <x:v>0.18575851393188852</x:v>
      </x:c>
      <x:c r="AQ23" s="41" t="n">
        <x:f>IFERROR('06_PL'!AQ18/AQ12,0)</x:f>
        <x:v>0.18575851393188852</x:v>
      </x:c>
      <x:c r="AR23" s="41" t="n">
        <x:f>IFERROR('06_PL'!AR18/AR12,0)</x:f>
        <x:v>0.43357822473804647</x:v>
      </x:c>
      <x:c r="AS23" s="41" t="n">
        <x:f>IFERROR('06_PL'!AS18/AS12,0)</x:f>
        <x:v>0.4335782247380465</x:v>
      </x:c>
      <x:c r="AT23" s="41" t="n">
        <x:f>IFERROR('06_PL'!AT18/AT12,0)</x:f>
        <x:v>0.43357822473804647</x:v>
      </x:c>
      <x:c r="AU23" s="41" t="n">
        <x:f>IFERROR('06_PL'!AU18/AU12,0)</x:f>
        <x:v>0.18575851393188852</x:v>
      </x:c>
      <x:c r="AV23" s="41" t="n">
        <x:f>IFERROR('06_PL'!AV18/AV12,0)</x:f>
        <x:v>0.12490025326995803</x:v>
      </x:c>
      <x:c r="AW23" s="41" t="n">
        <x:f>IFERROR('06_PL'!AW18/AW12,0)</x:f>
        <x:v>0.12490025326995804</x:v>
      </x:c>
      <x:c r="AX23" s="41" t="n">
        <x:f>IFERROR('06_PL'!AX18/AX12,0)</x:f>
        <x:v>0.3295194508009153</x:v>
      </x:c>
      <x:c r="AY23" s="41" t="n">
        <x:f>IFERROR('06_PL'!AY18/AY12,0)</x:f>
        <x:v>0.43357822473804647</x:v>
      </x:c>
      <x:c r="AZ23" s="41" t="n">
        <x:f>IFERROR('06_PL'!AZ18/AZ12,0)</x:f>
        <x:v>0.4335782247380465</x:v>
      </x:c>
      <x:c r="BA23" s="41" t="n">
        <x:f>IFERROR('06_PL'!BA18/BA12,0)</x:f>
        <x:v>0.43357822473804647</x:v>
      </x:c>
      <x:c r="BB23" s="41" t="n">
        <x:f>IFERROR('06_PL'!BB18/BB12,0)</x:f>
        <x:v>0.18575851393188852</x:v>
      </x:c>
      <x:c r="BC23" s="41" t="n">
        <x:f>IFERROR('06_PL'!BC18/BC12,0)</x:f>
        <x:v>0.18575851393188852</x:v>
      </x:c>
      <x:c r="BD23" s="41" t="n">
        <x:f>IFERROR('06_PL'!BD18/BD12,0)</x:f>
        <x:v>0.43357822473804647</x:v>
      </x:c>
      <x:c r="BE23" s="41" t="n">
        <x:f>IFERROR('06_PL'!BE18/BE12,0)</x:f>
        <x:v>0.4335782247380465</x:v>
      </x:c>
      <x:c r="BF23" s="41" t="n">
        <x:f>IFERROR('06_PL'!BF18/BF12,0)</x:f>
        <x:v>0.43357822473804647</x:v>
      </x:c>
      <x:c r="BG23" s="41" t="n">
        <x:f>IFERROR('06_PL'!BG18/BG12,0)</x:f>
        <x:v>0.18575851393188852</x:v>
      </x:c>
      <x:c r="BH23" s="41" t="n">
        <x:f>IFERROR('06_PL'!BH18/BH12,0)</x:f>
        <x:v>0.12490025326995803</x:v>
      </x:c>
      <x:c r="BI23" s="41" t="n">
        <x:f>IFERROR('06_PL'!BI18/BI12,0)</x:f>
        <x:v>0.12490025326995804</x:v>
      </x:c>
      <x:c r="BJ23" s="41" t="n">
        <x:f>IFERROR('06_PL'!BJ18/BJ12,0)</x:f>
        <x:v>0.3295194508009153</x:v>
      </x:c>
    </x:row>
    <x:row r="24">
      <x:c r="A24" s="12" t="str">
        <x:v>財務安全性</x:v>
      </x:c>
      <x:c r="B24" s="12" t="str">
        <x:v>現預金</x:v>
      </x:c>
      <x:c r="C24" s="40" t="n">
        <x:f>'07_BS'!C6</x:f>
        <x:v>27387.140166666668</x:v>
      </x:c>
      <x:c r="D24" s="40" t="n">
        <x:f>'07_BS'!D6</x:f>
        <x:v>27327.015629301077</x:v>
      </x:c>
      <x:c r="E24" s="40" t="n">
        <x:f>'07_BS'!E6</x:f>
        <x:v>27282.238675</x:v>
      </x:c>
      <x:c r="F24" s="40" t="n">
        <x:f>'07_BS'!F6</x:f>
        <x:v>28239.45726263441</x:v>
      </x:c>
      <x:c r="G24" s="40" t="n">
        <x:f>'07_BS'!G6</x:f>
        <x:v>29491.698229301077</x:v>
      </x:c>
      <x:c r="H24" s="40" t="n">
        <x:f>'07_BS'!H6</x:f>
        <x:v>29729.427525000003</x:v>
      </x:c>
      <x:c r="I24" s="40" t="n">
        <x:f>'07_BS'!I6</x:f>
        <x:v>29669.30298763441</x:v>
      </x:c>
      <x:c r="J24" s="40" t="n">
        <x:f>'07_BS'!J6</x:f>
        <x:v>29624.526033333335</x:v>
      </x:c>
      <x:c r="K24" s="40" t="n">
        <x:f>'07_BS'!K6</x:f>
        <x:v>30581.744620967744</x:v>
      </x:c>
      <x:c r="L24" s="40" t="n">
        <x:f>'07_BS'!L6</x:f>
        <x:v>32678.95786263441</x:v>
      </x:c>
      <x:c r="M24" s="40" t="n">
        <x:f>'07_BS'!M6</x:f>
        <x:v>34858.09304404762</x:v>
      </x:c>
      <x:c r="N24" s="40" t="n">
        <x:f>'07_BS'!N6</x:f>
        <x:v>35611.138170967744</x:v>
      </x:c>
      <x:c r="O24" s="40" t="n">
        <x:f>'07_BS'!O6</x:f>
        <x:v>35604.75071666667</x:v>
      </x:c>
      <x:c r="P24" s="40" t="n">
        <x:f>'07_BS'!P6</x:f>
        <x:v>35544.62617930108</x:v>
      </x:c>
      <x:c r="Q24" s="40" t="n">
        <x:f>'07_BS'!Q6</x:f>
        <x:v>35499.849225000005</x:v>
      </x:c>
      <x:c r="R24" s="40" t="n">
        <x:f>'07_BS'!R6</x:f>
        <x:v>36457.067812634414</x:v>
      </x:c>
      <x:c r="S24" s="40" t="n">
        <x:f>'07_BS'!S6</x:f>
        <x:v>37709.30877930108</x:v>
      </x:c>
      <x:c r="T24" s="40" t="n">
        <x:f>'07_BS'!T6</x:f>
        <x:v>37947.038075000004</x:v>
      </x:c>
      <x:c r="U24" s="40" t="n">
        <x:f>'07_BS'!U6</x:f>
        <x:v>37886.91353763441</x:v>
      </x:c>
      <x:c r="V24" s="40" t="n">
        <x:f>'07_BS'!V6</x:f>
        <x:v>37842.13658333334</x:v>
      </x:c>
      <x:c r="W24" s="40" t="n">
        <x:f>'07_BS'!W6</x:f>
        <x:v>38799.35517096775</x:v>
      </x:c>
      <x:c r="X24" s="40" t="n">
        <x:f>'07_BS'!X6</x:f>
        <x:v>40896.56841263441</x:v>
      </x:c>
      <x:c r="Y24" s="40" t="n">
        <x:f>'07_BS'!Y6</x:f>
        <x:v>43150.180693678165</x:v>
      </x:c>
      <x:c r="Z24" s="40" t="n">
        <x:f>'07_BS'!Z6</x:f>
        <x:v>43917.56079596774</x:v>
      </x:c>
      <x:c r="AA24" s="40" t="n">
        <x:f>'07_BS'!AA6</x:f>
        <x:v>43911.17334166667</x:v>
      </x:c>
      <x:c r="AB24" s="40" t="n">
        <x:f>'07_BS'!AB6</x:f>
        <x:v>43851.04880430108</x:v>
      </x:c>
      <x:c r="AC24" s="40" t="n">
        <x:f>'07_BS'!AC6</x:f>
        <x:v>43806.271850000005</x:v>
      </x:c>
      <x:c r="AD24" s="40" t="n">
        <x:f>'07_BS'!AD6</x:f>
        <x:v>44763.49043763441</x:v>
      </x:c>
      <x:c r="AE24" s="40" t="n">
        <x:f>'07_BS'!AE6</x:f>
        <x:v>46015.73140430108</x:v>
      </x:c>
      <x:c r="AF24" s="40" t="n">
        <x:f>'07_BS'!AF6</x:f>
        <x:v>46253.4607</x:v>
      </x:c>
      <x:c r="AG24" s="40" t="n">
        <x:f>'07_BS'!AG6</x:f>
        <x:v>46193.33616263441</x:v>
      </x:c>
      <x:c r="AH24" s="40" t="n">
        <x:f>'07_BS'!AH6</x:f>
        <x:v>46148.55920833334</x:v>
      </x:c>
      <x:c r="AI24" s="40" t="n">
        <x:f>'07_BS'!AI6</x:f>
        <x:v>47105.77779596775</x:v>
      </x:c>
      <x:c r="AJ24" s="40" t="n">
        <x:f>'07_BS'!AJ6</x:f>
        <x:v>49202.99103763441</x:v>
      </x:c>
      <x:c r="AK24" s="40" t="n">
        <x:f>'07_BS'!AK6</x:f>
        <x:v>51382.12621904763</x:v>
      </x:c>
      <x:c r="AL24" s="40" t="n">
        <x:f>'07_BS'!AL6</x:f>
        <x:v>52135.17134596775</x:v>
      </x:c>
      <x:c r="AM24" s="40" t="n">
        <x:f>'07_BS'!AM6</x:f>
        <x:v>52128.78389166667</x:v>
      </x:c>
      <x:c r="AN24" s="40" t="n">
        <x:f>'07_BS'!AN6</x:f>
        <x:v>52068.65935430108</x:v>
      </x:c>
      <x:c r="AO24" s="40" t="n">
        <x:f>'07_BS'!AO6</x:f>
        <x:v>52023.88240000001</x:v>
      </x:c>
      <x:c r="AP24" s="40" t="n">
        <x:f>'07_BS'!AP6</x:f>
        <x:v>52981.10098763442</x:v>
      </x:c>
      <x:c r="AQ24" s="40" t="n">
        <x:f>'07_BS'!AQ6</x:f>
        <x:v>54233.34195430108</x:v>
      </x:c>
      <x:c r="AR24" s="40" t="n">
        <x:f>'07_BS'!AR6</x:f>
        <x:v>54471.07125000001</x:v>
      </x:c>
      <x:c r="AS24" s="40" t="n">
        <x:f>'07_BS'!AS6</x:f>
        <x:v>54410.94671263442</x:v>
      </x:c>
      <x:c r="AT24" s="40" t="n">
        <x:f>'07_BS'!AT6</x:f>
        <x:v>54366.169758333344</x:v>
      </x:c>
      <x:c r="AU24" s="40" t="n">
        <x:f>'07_BS'!AU6</x:f>
        <x:v>55323.38834596775</x:v>
      </x:c>
      <x:c r="AV24" s="40" t="n">
        <x:f>'07_BS'!AV6</x:f>
        <x:v>57420.60158763442</x:v>
      </x:c>
      <x:c r="AW24" s="40" t="n">
        <x:f>'07_BS'!AW6</x:f>
        <x:v>59599.736769047624</x:v>
      </x:c>
      <x:c r="AX24" s="40" t="n">
        <x:f>'07_BS'!AX6</x:f>
        <x:v>60352.781895967746</x:v>
      </x:c>
      <x:c r="AY24" s="40" t="n">
        <x:f>'07_BS'!AY6</x:f>
        <x:v>60346.39444166667</x:v>
      </x:c>
      <x:c r="AZ24" s="40" t="n">
        <x:f>'07_BS'!AZ6</x:f>
        <x:v>60286.26990430108</x:v>
      </x:c>
      <x:c r="BA24" s="40" t="n">
        <x:f>'07_BS'!BA6</x:f>
        <x:v>60241.49295000001</x:v>
      </x:c>
      <x:c r="BB24" s="40" t="n">
        <x:f>'07_BS'!BB6</x:f>
        <x:v>61198.711537634415</x:v>
      </x:c>
      <x:c r="BC24" s="40" t="n">
        <x:f>'07_BS'!BC6</x:f>
        <x:v>62450.95250430108</x:v>
      </x:c>
      <x:c r="BD24" s="40" t="n">
        <x:f>'07_BS'!BD6</x:f>
        <x:v>62688.681800000006</x:v>
      </x:c>
      <x:c r="BE24" s="40" t="n">
        <x:f>'07_BS'!BE6</x:f>
        <x:v>62628.557262634415</x:v>
      </x:c>
      <x:c r="BF24" s="40" t="n">
        <x:f>'07_BS'!BF6</x:f>
        <x:v>62583.78030833334</x:v>
      </x:c>
      <x:c r="BG24" s="40" t="n">
        <x:f>'07_BS'!BG6</x:f>
        <x:v>63540.99889596775</x:v>
      </x:c>
      <x:c r="BH24" s="40" t="n">
        <x:f>'07_BS'!BH6</x:f>
        <x:v>65638.21213763441</x:v>
      </x:c>
      <x:c r="BI24" s="40" t="n">
        <x:f>'07_BS'!BI6</x:f>
        <x:v>67817.34731904762</x:v>
      </x:c>
      <x:c r="BJ24" s="40" t="n">
        <x:f>'07_BS'!BJ6</x:f>
        <x:v>68570.39244596774</x:v>
      </x:c>
    </x:row>
    <x:row r="25">
      <x:c r="A25" s="12" t="str">
        <x:v>財務安全性</x:v>
      </x:c>
      <x:c r="B25" s="12" t="str">
        <x:v>借入金</x:v>
      </x:c>
      <x:c r="C25" s="40" t="n">
        <x:f>'07_BS'!C12</x:f>
        <x:v>26300</x:v>
      </x:c>
      <x:c r="D25" s="40" t="n">
        <x:f>'07_BS'!D12</x:f>
        <x:v>26300</x:v>
      </x:c>
      <x:c r="E25" s="40" t="n">
        <x:f>'07_BS'!E12</x:f>
        <x:v>26300</x:v>
      </x:c>
      <x:c r="F25" s="40" t="n">
        <x:f>'07_BS'!F12</x:f>
        <x:v>26300</x:v>
      </x:c>
      <x:c r="G25" s="40" t="n">
        <x:f>'07_BS'!G12</x:f>
        <x:v>26300</x:v>
      </x:c>
      <x:c r="H25" s="40" t="n">
        <x:f>'07_BS'!H12</x:f>
        <x:v>26300</x:v>
      </x:c>
      <x:c r="I25" s="40" t="n">
        <x:f>'07_BS'!I12</x:f>
        <x:v>26300</x:v>
      </x:c>
      <x:c r="J25" s="40" t="n">
        <x:f>'07_BS'!J12</x:f>
        <x:v>26300</x:v>
      </x:c>
      <x:c r="K25" s="40" t="n">
        <x:f>'07_BS'!K12</x:f>
        <x:v>26300</x:v>
      </x:c>
      <x:c r="L25" s="40" t="n">
        <x:f>'07_BS'!L12</x:f>
        <x:v>26300</x:v>
      </x:c>
      <x:c r="M25" s="40" t="n">
        <x:f>'07_BS'!M12</x:f>
        <x:v>26300</x:v>
      </x:c>
      <x:c r="N25" s="40" t="n">
        <x:f>'07_BS'!N12</x:f>
        <x:v>26300</x:v>
      </x:c>
      <x:c r="O25" s="40" t="n">
        <x:f>'07_BS'!O12</x:f>
        <x:v>26300</x:v>
      </x:c>
      <x:c r="P25" s="40" t="n">
        <x:f>'07_BS'!P12</x:f>
        <x:v>26300</x:v>
      </x:c>
      <x:c r="Q25" s="40" t="n">
        <x:f>'07_BS'!Q12</x:f>
        <x:v>26300</x:v>
      </x:c>
      <x:c r="R25" s="40" t="n">
        <x:f>'07_BS'!R12</x:f>
        <x:v>26300</x:v>
      </x:c>
      <x:c r="S25" s="40" t="n">
        <x:f>'07_BS'!S12</x:f>
        <x:v>26300</x:v>
      </x:c>
      <x:c r="T25" s="40" t="n">
        <x:f>'07_BS'!T12</x:f>
        <x:v>26300</x:v>
      </x:c>
      <x:c r="U25" s="40" t="n">
        <x:f>'07_BS'!U12</x:f>
        <x:v>26300</x:v>
      </x:c>
      <x:c r="V25" s="40" t="n">
        <x:f>'07_BS'!V12</x:f>
        <x:v>26300</x:v>
      </x:c>
      <x:c r="W25" s="40" t="n">
        <x:f>'07_BS'!W12</x:f>
        <x:v>26300</x:v>
      </x:c>
      <x:c r="X25" s="40" t="n">
        <x:f>'07_BS'!X12</x:f>
        <x:v>26300</x:v>
      </x:c>
      <x:c r="Y25" s="40" t="n">
        <x:f>'07_BS'!Y12</x:f>
        <x:v>26300</x:v>
      </x:c>
      <x:c r="Z25" s="40" t="n">
        <x:f>'07_BS'!Z12</x:f>
        <x:v>26300</x:v>
      </x:c>
      <x:c r="AA25" s="40" t="n">
        <x:f>'07_BS'!AA12</x:f>
        <x:v>26300</x:v>
      </x:c>
      <x:c r="AB25" s="40" t="n">
        <x:f>'07_BS'!AB12</x:f>
        <x:v>26300</x:v>
      </x:c>
      <x:c r="AC25" s="40" t="n">
        <x:f>'07_BS'!AC12</x:f>
        <x:v>26300</x:v>
      </x:c>
      <x:c r="AD25" s="40" t="n">
        <x:f>'07_BS'!AD12</x:f>
        <x:v>26300</x:v>
      </x:c>
      <x:c r="AE25" s="40" t="n">
        <x:f>'07_BS'!AE12</x:f>
        <x:v>26300</x:v>
      </x:c>
      <x:c r="AF25" s="40" t="n">
        <x:f>'07_BS'!AF12</x:f>
        <x:v>26300</x:v>
      </x:c>
      <x:c r="AG25" s="40" t="n">
        <x:f>'07_BS'!AG12</x:f>
        <x:v>26300</x:v>
      </x:c>
      <x:c r="AH25" s="40" t="n">
        <x:f>'07_BS'!AH12</x:f>
        <x:v>26300</x:v>
      </x:c>
      <x:c r="AI25" s="40" t="n">
        <x:f>'07_BS'!AI12</x:f>
        <x:v>26300</x:v>
      </x:c>
      <x:c r="AJ25" s="40" t="n">
        <x:f>'07_BS'!AJ12</x:f>
        <x:v>26300</x:v>
      </x:c>
      <x:c r="AK25" s="40" t="n">
        <x:f>'07_BS'!AK12</x:f>
        <x:v>26300</x:v>
      </x:c>
      <x:c r="AL25" s="40" t="n">
        <x:f>'07_BS'!AL12</x:f>
        <x:v>26300</x:v>
      </x:c>
      <x:c r="AM25" s="40" t="n">
        <x:f>'07_BS'!AM12</x:f>
        <x:v>26300</x:v>
      </x:c>
      <x:c r="AN25" s="40" t="n">
        <x:f>'07_BS'!AN12</x:f>
        <x:v>26300</x:v>
      </x:c>
      <x:c r="AO25" s="40" t="n">
        <x:f>'07_BS'!AO12</x:f>
        <x:v>26300</x:v>
      </x:c>
      <x:c r="AP25" s="40" t="n">
        <x:f>'07_BS'!AP12</x:f>
        <x:v>26300</x:v>
      </x:c>
      <x:c r="AQ25" s="40" t="n">
        <x:f>'07_BS'!AQ12</x:f>
        <x:v>26300</x:v>
      </x:c>
      <x:c r="AR25" s="40" t="n">
        <x:f>'07_BS'!AR12</x:f>
        <x:v>26300</x:v>
      </x:c>
      <x:c r="AS25" s="40" t="n">
        <x:f>'07_BS'!AS12</x:f>
        <x:v>26300</x:v>
      </x:c>
      <x:c r="AT25" s="40" t="n">
        <x:f>'07_BS'!AT12</x:f>
        <x:v>26300</x:v>
      </x:c>
      <x:c r="AU25" s="40" t="n">
        <x:f>'07_BS'!AU12</x:f>
        <x:v>26300</x:v>
      </x:c>
      <x:c r="AV25" s="40" t="n">
        <x:f>'07_BS'!AV12</x:f>
        <x:v>26300</x:v>
      </x:c>
      <x:c r="AW25" s="40" t="n">
        <x:f>'07_BS'!AW12</x:f>
        <x:v>26300</x:v>
      </x:c>
      <x:c r="AX25" s="40" t="n">
        <x:f>'07_BS'!AX12</x:f>
        <x:v>26300</x:v>
      </x:c>
      <x:c r="AY25" s="40" t="n">
        <x:f>'07_BS'!AY12</x:f>
        <x:v>26300</x:v>
      </x:c>
      <x:c r="AZ25" s="40" t="n">
        <x:f>'07_BS'!AZ12</x:f>
        <x:v>26300</x:v>
      </x:c>
      <x:c r="BA25" s="40" t="n">
        <x:f>'07_BS'!BA12</x:f>
        <x:v>26300</x:v>
      </x:c>
      <x:c r="BB25" s="40" t="n">
        <x:f>'07_BS'!BB12</x:f>
        <x:v>26300</x:v>
      </x:c>
      <x:c r="BC25" s="40" t="n">
        <x:f>'07_BS'!BC12</x:f>
        <x:v>26300</x:v>
      </x:c>
      <x:c r="BD25" s="40" t="n">
        <x:f>'07_BS'!BD12</x:f>
        <x:v>26300</x:v>
      </x:c>
      <x:c r="BE25" s="40" t="n">
        <x:f>'07_BS'!BE12</x:f>
        <x:v>26300</x:v>
      </x:c>
      <x:c r="BF25" s="40" t="n">
        <x:f>'07_BS'!BF12</x:f>
        <x:v>26300</x:v>
      </x:c>
      <x:c r="BG25" s="40" t="n">
        <x:f>'07_BS'!BG12</x:f>
        <x:v>26300</x:v>
      </x:c>
      <x:c r="BH25" s="40" t="n">
        <x:f>'07_BS'!BH12</x:f>
        <x:v>26300</x:v>
      </x:c>
      <x:c r="BI25" s="40" t="n">
        <x:f>'07_BS'!BI12</x:f>
        <x:v>26300</x:v>
      </x:c>
      <x:c r="BJ25" s="40" t="n">
        <x:f>'07_BS'!BJ12</x:f>
        <x:v>26300</x:v>
      </x:c>
    </x:row>
    <x:row r="26">
      <x:c r="A26" s="12" t="str">
        <x:v>財務安全性</x:v>
      </x:c>
      <x:c r="B26" s="12" t="str">
        <x:v>Net Debt</x:v>
      </x:c>
      <x:c r="C26" s="40" t="n">
        <x:f>C25-C24</x:f>
        <x:v>-1087.140166666668</x:v>
      </x:c>
      <x:c r="D26" s="40" t="n">
        <x:f>D25-D24</x:f>
        <x:v>-1027.0156293010768</x:v>
      </x:c>
      <x:c r="E26" s="40" t="n">
        <x:f>E25-E24</x:f>
        <x:v>-982.2386750000005</x:v>
      </x:c>
      <x:c r="F26" s="40" t="n">
        <x:f>F25-F24</x:f>
        <x:v>-1939.4572626344088</x:v>
      </x:c>
      <x:c r="G26" s="40" t="n">
        <x:f>G25-G24</x:f>
        <x:v>-3191.698229301077</x:v>
      </x:c>
      <x:c r="H26" s="40" t="n">
        <x:f>H25-H24</x:f>
        <x:v>-3429.427525000003</x:v>
      </x:c>
      <x:c r="I26" s="40" t="n">
        <x:f>I25-I24</x:f>
        <x:v>-3369.3029876344117</x:v>
      </x:c>
      <x:c r="J26" s="40" t="n">
        <x:f>J25-J24</x:f>
        <x:v>-3324.5260333333354</x:v>
      </x:c>
      <x:c r="K26" s="40" t="n">
        <x:f>K25-K24</x:f>
        <x:v>-4281.744620967744</x:v>
      </x:c>
      <x:c r="L26" s="40" t="n">
        <x:f>L25-L24</x:f>
        <x:v>-6378.957862634408</x:v>
      </x:c>
      <x:c r="M26" s="40" t="n">
        <x:f>M25-M24</x:f>
        <x:v>-8558.093044047622</x:v>
      </x:c>
      <x:c r="N26" s="40" t="n">
        <x:f>N25-N24</x:f>
        <x:v>-9311.138170967744</x:v>
      </x:c>
      <x:c r="O26" s="40" t="n">
        <x:f>O25-O24</x:f>
        <x:v>-9304.75071666667</x:v>
      </x:c>
      <x:c r="P26" s="40" t="n">
        <x:f>P25-P24</x:f>
        <x:v>-9244.626179301078</x:v>
      </x:c>
      <x:c r="Q26" s="40" t="n">
        <x:f>Q25-Q24</x:f>
        <x:v>-9199.849225000005</x:v>
      </x:c>
      <x:c r="R26" s="40" t="n">
        <x:f>R25-R24</x:f>
        <x:v>-10157.067812634414</x:v>
      </x:c>
      <x:c r="S26" s="40" t="n">
        <x:f>S25-S24</x:f>
        <x:v>-11409.308779301078</x:v>
      </x:c>
      <x:c r="T26" s="40" t="n">
        <x:f>T25-T24</x:f>
        <x:v>-11647.038075000004</x:v>
      </x:c>
      <x:c r="U26" s="40" t="n">
        <x:f>U25-U24</x:f>
        <x:v>-11586.913537634413</x:v>
      </x:c>
      <x:c r="V26" s="40" t="n">
        <x:f>V25-V24</x:f>
        <x:v>-11542.13658333334</x:v>
      </x:c>
      <x:c r="W26" s="40" t="n">
        <x:f>W25-W24</x:f>
        <x:v>-12499.355170967749</x:v>
      </x:c>
      <x:c r="X26" s="40" t="n">
        <x:f>X25-X24</x:f>
        <x:v>-14596.568412634413</x:v>
      </x:c>
      <x:c r="Y26" s="40" t="n">
        <x:f>Y25-Y24</x:f>
        <x:v>-16850.180693678165</x:v>
      </x:c>
      <x:c r="Z26" s="40" t="n">
        <x:f>Z25-Z24</x:f>
        <x:v>-17617.560795967744</x:v>
      </x:c>
      <x:c r="AA26" s="40" t="n">
        <x:f>AA25-AA24</x:f>
        <x:v>-17611.17334166667</x:v>
      </x:c>
      <x:c r="AB26" s="40" t="n">
        <x:f>AB25-AB24</x:f>
        <x:v>-17551.048804301077</x:v>
      </x:c>
      <x:c r="AC26" s="40" t="n">
        <x:f>AC25-AC24</x:f>
        <x:v>-17506.271850000005</x:v>
      </x:c>
      <x:c r="AD26" s="40" t="n">
        <x:f>AD25-AD24</x:f>
        <x:v>-18463.490437634413</x:v>
      </x:c>
      <x:c r="AE26" s="40" t="n">
        <x:f>AE25-AE24</x:f>
        <x:v>-19715.731404301077</x:v>
      </x:c>
      <x:c r="AF26" s="40" t="n">
        <x:f>AF25-AF24</x:f>
        <x:v>-19953.460700000003</x:v>
      </x:c>
      <x:c r="AG26" s="40" t="n">
        <x:f>AG25-AG24</x:f>
        <x:v>-19893.336162634412</x:v>
      </x:c>
      <x:c r="AH26" s="40" t="n">
        <x:f>AH25-AH24</x:f>
        <x:v>-19848.55920833334</x:v>
      </x:c>
      <x:c r="AI26" s="40" t="n">
        <x:f>AI25-AI24</x:f>
        <x:v>-20805.777795967748</x:v>
      </x:c>
      <x:c r="AJ26" s="40" t="n">
        <x:f>AJ25-AJ24</x:f>
        <x:v>-22902.991037634412</x:v>
      </x:c>
      <x:c r="AK26" s="40" t="n">
        <x:f>AK25-AK24</x:f>
        <x:v>-25082.126219047626</x:v>
      </x:c>
      <x:c r="AL26" s="40" t="n">
        <x:f>AL25-AL24</x:f>
        <x:v>-25835.17134596775</x:v>
      </x:c>
      <x:c r="AM26" s="40" t="n">
        <x:f>AM25-AM24</x:f>
        <x:v>-25828.783891666673</x:v>
      </x:c>
      <x:c r="AN26" s="40" t="n">
        <x:f>AN25-AN24</x:f>
        <x:v>-25768.659354301082</x:v>
      </x:c>
      <x:c r="AO26" s="40" t="n">
        <x:f>AO25-AO24</x:f>
        <x:v>-25723.88240000001</x:v>
      </x:c>
      <x:c r="AP26" s="40" t="n">
        <x:f>AP25-AP24</x:f>
        <x:v>-26681.100987634418</x:v>
      </x:c>
      <x:c r="AQ26" s="40" t="n">
        <x:f>AQ25-AQ24</x:f>
        <x:v>-27933.341954301082</x:v>
      </x:c>
      <x:c r="AR26" s="40" t="n">
        <x:f>AR25-AR24</x:f>
        <x:v>-28171.071250000008</x:v>
      </x:c>
      <x:c r="AS26" s="40" t="n">
        <x:f>AS25-AS24</x:f>
        <x:v>-28110.946712634417</x:v>
      </x:c>
      <x:c r="AT26" s="40" t="n">
        <x:f>AT25-AT24</x:f>
        <x:v>-28066.169758333344</x:v>
      </x:c>
      <x:c r="AU26" s="40" t="n">
        <x:f>AU25-AU24</x:f>
        <x:v>-29023.388345967753</x:v>
      </x:c>
      <x:c r="AV26" s="40" t="n">
        <x:f>AV25-AV24</x:f>
        <x:v>-31120.601587634417</x:v>
      </x:c>
      <x:c r="AW26" s="40" t="n">
        <x:f>AW25-AW24</x:f>
        <x:v>-33299.736769047624</x:v>
      </x:c>
      <x:c r="AX26" s="40" t="n">
        <x:f>AX25-AX24</x:f>
        <x:v>-34052.781895967746</x:v>
      </x:c>
      <x:c r="AY26" s="40" t="n">
        <x:f>AY25-AY24</x:f>
        <x:v>-34046.39444166667</x:v>
      </x:c>
      <x:c r="AZ26" s="40" t="n">
        <x:f>AZ25-AZ24</x:f>
        <x:v>-33986.26990430108</x:v>
      </x:c>
      <x:c r="BA26" s="40" t="n">
        <x:f>BA25-BA24</x:f>
        <x:v>-33941.49295000001</x:v>
      </x:c>
      <x:c r="BB26" s="40" t="n">
        <x:f>BB25-BB24</x:f>
        <x:v>-34898.711537634415</x:v>
      </x:c>
      <x:c r="BC26" s="40" t="n">
        <x:f>BC25-BC24</x:f>
        <x:v>-36150.95250430108</x:v>
      </x:c>
      <x:c r="BD26" s="40" t="n">
        <x:f>BD25-BD24</x:f>
        <x:v>-36388.681800000006</x:v>
      </x:c>
      <x:c r="BE26" s="40" t="n">
        <x:f>BE25-BE24</x:f>
        <x:v>-36328.557262634415</x:v>
      </x:c>
      <x:c r="BF26" s="40" t="n">
        <x:f>BF25-BF24</x:f>
        <x:v>-36283.78030833334</x:v>
      </x:c>
      <x:c r="BG26" s="40" t="n">
        <x:f>BG25-BG24</x:f>
        <x:v>-37240.99889596775</x:v>
      </x:c>
      <x:c r="BH26" s="40" t="n">
        <x:f>BH25-BH24</x:f>
        <x:v>-39338.212137634415</x:v>
      </x:c>
      <x:c r="BI26" s="40" t="n">
        <x:f>BI25-BI24</x:f>
        <x:v>-41517.34731904762</x:v>
      </x:c>
      <x:c r="BJ26" s="40" t="n">
        <x:f>BJ25-BJ24</x:f>
        <x:v>-42270.39244596774</x:v>
      </x:c>
    </x:row>
    <x:row r="27">
      <x:c r="A27" s="12" t="str">
        <x:v>財務安全性</x:v>
      </x:c>
      <x:c r="B27" s="12" t="str">
        <x:v>DSCR</x:v>
      </x:c>
      <x:c r="C27" s="46" t="n">
        <x:f>IFERROR(C14/('09_借入返済'!C8+'09_借入返済'!C9+'09_借入返済'!C12),0)</x:f>
        <x:v>1.3920171102661616</x:v>
      </x:c>
      <x:c r="D27" s="46" t="n">
        <x:f>IFERROR(D14/('09_借入返済'!D8+'09_借入返済'!D9+'09_借入返済'!D12),0)</x:f>
        <x:v>1.7334747148288936</x:v>
      </x:c>
      <x:c r="E27" s="46" t="n">
        <x:f>IFERROR(E14/('09_借入返済'!E8+'09_借入返済'!E9+'09_借入返済'!E12),0)</x:f>
        <x:v>1.3920171102661616</x:v>
      </x:c>
      <x:c r="F27" s="46" t="n">
        <x:f>IFERROR(F14/('09_借入返済'!F8+'09_借入返済'!F9+'09_借入返済'!F12),0)</x:f>
        <x:v>47.56293764258557</x:v>
      </x:c>
      <x:c r="G27" s="46" t="n">
        <x:f>IFERROR(G14/('09_借入返済'!G8+'09_借入返済'!G9+'09_借入返済'!G12),0)</x:f>
        <x:v>47.56293764258557</x:v>
      </x:c>
      <x:c r="H27" s="46" t="n">
        <x:f>IFERROR(H14/('09_借入返済'!H8+'09_借入返済'!H9+'09_借入返済'!H12),0)</x:f>
        <x:v>1.3920171102661616</x:v>
      </x:c>
      <x:c r="I27" s="46" t="n">
        <x:f>IFERROR(I14/('09_借入返済'!I8+'09_借入返済'!I9+'09_借入返済'!I12),0)</x:f>
        <x:v>1.7334747148288936</x:v>
      </x:c>
      <x:c r="J27" s="46" t="n">
        <x:f>IFERROR(J14/('09_借入返済'!J8+'09_借入返済'!J9+'09_借入返済'!J12),0)</x:f>
        <x:v>1.3920171102661616</x:v>
      </x:c>
      <x:c r="K27" s="46" t="n">
        <x:f>IFERROR(K14/('09_借入返済'!K8+'09_借入返済'!K9+'09_借入返済'!K12),0)</x:f>
        <x:v>47.56293764258557</x:v>
      </x:c>
      <x:c r="L27" s="46" t="n">
        <x:f>IFERROR(L14/('09_借入返済'!L8+'09_借入返済'!L9+'09_借入返済'!L12),0)</x:f>
        <x:v>88.21838269961977</x:v>
      </x:c>
      <x:c r="M27" s="46" t="n">
        <x:f>IFERROR(M14/('09_借入返済'!M8+'09_借入返済'!M9+'09_借入返済'!M12),0)</x:f>
        <x:v>78.82450266159694</x:v>
      </x:c>
      <x:c r="N27" s="46" t="n">
        <x:f>IFERROR(N14/('09_借入返済'!N8+'09_借入返済'!N9+'09_借入返済'!N12),0)</x:f>
        <x:v>11.910185361216731</x:v>
      </x:c>
      <x:c r="O27" s="46" t="n">
        <x:f>IFERROR(O14/('09_借入返済'!O8+'09_借入返済'!O9+'09_借入返済'!O12),0)</x:f>
        <x:v>1.3920171102661616</x:v>
      </x:c>
      <x:c r="P27" s="46" t="n">
        <x:f>IFERROR(P14/('09_借入返済'!P8+'09_借入返済'!P9+'09_借入返済'!P12),0)</x:f>
        <x:v>1.7334747148288936</x:v>
      </x:c>
      <x:c r="Q27" s="46" t="n">
        <x:f>IFERROR(Q14/('09_借入返済'!Q8+'09_借入返済'!Q9+'09_借入返済'!Q12),0)</x:f>
        <x:v>1.3920171102661616</x:v>
      </x:c>
      <x:c r="R27" s="46" t="n">
        <x:f>IFERROR(R14/('09_借入返済'!R8+'09_借入返済'!R9+'09_借入返済'!R12),0)</x:f>
        <x:v>47.56293764258557</x:v>
      </x:c>
      <x:c r="S27" s="46" t="n">
        <x:f>IFERROR(S14/('09_借入返済'!S8+'09_借入返済'!S9+'09_借入返済'!S12),0)</x:f>
        <x:v>47.56293764258557</x:v>
      </x:c>
      <x:c r="T27" s="46" t="n">
        <x:f>IFERROR(T14/('09_借入返済'!T8+'09_借入返済'!T9+'09_借入返済'!T12),0)</x:f>
        <x:v>1.3920171102661616</x:v>
      </x:c>
      <x:c r="U27" s="46" t="n">
        <x:f>IFERROR(U14/('09_借入返済'!U8+'09_借入返済'!U9+'09_借入返済'!U12),0)</x:f>
        <x:v>1.7334747148288936</x:v>
      </x:c>
      <x:c r="V27" s="46" t="n">
        <x:f>IFERROR(V14/('09_借入返済'!V8+'09_借入返済'!V9+'09_借入返済'!V12),0)</x:f>
        <x:v>1.3920171102661616</x:v>
      </x:c>
      <x:c r="W27" s="46" t="n">
        <x:f>IFERROR(W14/('09_借入返済'!W8+'09_借入返済'!W9+'09_借入返済'!W12),0)</x:f>
        <x:v>47.56293764258557</x:v>
      </x:c>
      <x:c r="X27" s="46" t="n">
        <x:f>IFERROR(X14/('09_借入返済'!X8+'09_借入返済'!X9+'09_借入返済'!X12),0)</x:f>
        <x:v>88.21838269961977</x:v>
      </x:c>
      <x:c r="Y27" s="46" t="n">
        <x:f>IFERROR(Y14/('09_借入返済'!Y8+'09_借入返済'!Y9+'09_借入返済'!Y12),0)</x:f>
        <x:v>81.95579600760455</x:v>
      </x:c>
      <x:c r="Z27" s="46" t="n">
        <x:f>IFERROR(Z14/('09_借入返済'!Z8+'09_借入返済'!Z9+'09_借入返済'!Z12),0)</x:f>
        <x:v>11.910185361216731</x:v>
      </x:c>
      <x:c r="AA27" s="46" t="n">
        <x:f>IFERROR(AA14/('09_借入返済'!AA8+'09_借入返済'!AA9+'09_借入返済'!AA12),0)</x:f>
        <x:v>1.3920171102661616</x:v>
      </x:c>
      <x:c r="AB27" s="46" t="n">
        <x:f>IFERROR(AB14/('09_借入返済'!AB8+'09_借入返済'!AB9+'09_借入返済'!AB12),0)</x:f>
        <x:v>1.7334747148288936</x:v>
      </x:c>
      <x:c r="AC27" s="46" t="n">
        <x:f>IFERROR(AC14/('09_借入返済'!AC8+'09_借入返済'!AC9+'09_借入返済'!AC12),0)</x:f>
        <x:v>1.3920171102661616</x:v>
      </x:c>
      <x:c r="AD27" s="46" t="n">
        <x:f>IFERROR(AD14/('09_借入返済'!AD8+'09_借入返済'!AD9+'09_借入返済'!AD12),0)</x:f>
        <x:v>47.56293764258557</x:v>
      </x:c>
      <x:c r="AE27" s="46" t="n">
        <x:f>IFERROR(AE14/('09_借入返済'!AE8+'09_借入返済'!AE9+'09_借入返済'!AE12),0)</x:f>
        <x:v>47.56293764258557</x:v>
      </x:c>
      <x:c r="AF27" s="46" t="n">
        <x:f>IFERROR(AF14/('09_借入返済'!AF8+'09_借入返済'!AF9+'09_借入返済'!AF12),0)</x:f>
        <x:v>1.3920171102661616</x:v>
      </x:c>
      <x:c r="AG27" s="46" t="n">
        <x:f>IFERROR(AG14/('09_借入返済'!AG8+'09_借入返済'!AG9+'09_借入返済'!AG12),0)</x:f>
        <x:v>1.7334747148288936</x:v>
      </x:c>
      <x:c r="AH27" s="46" t="n">
        <x:f>IFERROR(AH14/('09_借入返済'!AH8+'09_借入返済'!AH9+'09_借入返済'!AH12),0)</x:f>
        <x:v>1.3920171102661616</x:v>
      </x:c>
      <x:c r="AI27" s="46" t="n">
        <x:f>IFERROR(AI14/('09_借入返済'!AI8+'09_借入返済'!AI9+'09_借入返済'!AI12),0)</x:f>
        <x:v>47.56293764258557</x:v>
      </x:c>
      <x:c r="AJ27" s="46" t="n">
        <x:f>IFERROR(AJ14/('09_借入返済'!AJ8+'09_借入返済'!AJ9+'09_借入返済'!AJ12),0)</x:f>
        <x:v>88.21838269961977</x:v>
      </x:c>
      <x:c r="AK27" s="46" t="n">
        <x:f>IFERROR(AK14/('09_借入返済'!AK8+'09_借入返済'!AK9+'09_借入返済'!AK12),0)</x:f>
        <x:v>78.82450266159694</x:v>
      </x:c>
      <x:c r="AL27" s="46" t="n">
        <x:f>IFERROR(AL14/('09_借入返済'!AL8+'09_借入返済'!AL9+'09_借入返済'!AL12),0)</x:f>
        <x:v>11.910185361216731</x:v>
      </x:c>
      <x:c r="AM27" s="46" t="n">
        <x:f>IFERROR(AM14/('09_借入返済'!AM8+'09_借入返済'!AM9+'09_借入返済'!AM12),0)</x:f>
        <x:v>1.3920171102661616</x:v>
      </x:c>
      <x:c r="AN27" s="46" t="n">
        <x:f>IFERROR(AN14/('09_借入返済'!AN8+'09_借入返済'!AN9+'09_借入返済'!AN12),0)</x:f>
        <x:v>1.7334747148288936</x:v>
      </x:c>
      <x:c r="AO27" s="46" t="n">
        <x:f>IFERROR(AO14/('09_借入返済'!AO8+'09_借入返済'!AO9+'09_借入返済'!AO12),0)</x:f>
        <x:v>1.3920171102661616</x:v>
      </x:c>
      <x:c r="AP27" s="46" t="n">
        <x:f>IFERROR(AP14/('09_借入返済'!AP8+'09_借入返済'!AP9+'09_借入返済'!AP12),0)</x:f>
        <x:v>47.56293764258557</x:v>
      </x:c>
      <x:c r="AQ27" s="46" t="n">
        <x:f>IFERROR(AQ14/('09_借入返済'!AQ8+'09_借入返済'!AQ9+'09_借入返済'!AQ12),0)</x:f>
        <x:v>47.56293764258557</x:v>
      </x:c>
      <x:c r="AR27" s="46" t="n">
        <x:f>IFERROR(AR14/('09_借入返済'!AR8+'09_借入返済'!AR9+'09_借入返済'!AR12),0)</x:f>
        <x:v>1.3920171102661616</x:v>
      </x:c>
      <x:c r="AS27" s="46" t="n">
        <x:f>IFERROR(AS14/('09_借入返済'!AS8+'09_借入返済'!AS9+'09_借入返済'!AS12),0)</x:f>
        <x:v>1.7334747148288936</x:v>
      </x:c>
      <x:c r="AT27" s="46" t="n">
        <x:f>IFERROR(AT14/('09_借入返済'!AT8+'09_借入返済'!AT9+'09_借入返済'!AT12),0)</x:f>
        <x:v>1.3920171102661616</x:v>
      </x:c>
      <x:c r="AU27" s="46" t="n">
        <x:f>IFERROR(AU14/('09_借入返済'!AU8+'09_借入返済'!AU9+'09_借入返済'!AU12),0)</x:f>
        <x:v>47.56293764258557</x:v>
      </x:c>
      <x:c r="AV27" s="46" t="n">
        <x:f>IFERROR(AV14/('09_借入返済'!AV8+'09_借入返済'!AV9+'09_借入返済'!AV12),0)</x:f>
        <x:v>88.21838269961977</x:v>
      </x:c>
      <x:c r="AW27" s="46" t="n">
        <x:f>IFERROR(AW14/('09_借入返済'!AW8+'09_借入返済'!AW9+'09_借入返済'!AW12),0)</x:f>
        <x:v>78.82450266159694</x:v>
      </x:c>
      <x:c r="AX27" s="46" t="n">
        <x:f>IFERROR(AX14/('09_借入返済'!AX8+'09_借入返済'!AX9+'09_借入返済'!AX12),0)</x:f>
        <x:v>11.910185361216731</x:v>
      </x:c>
      <x:c r="AY27" s="46" t="n">
        <x:f>IFERROR(AY14/('09_借入返済'!AY8+'09_借入返済'!AY9+'09_借入返済'!AY12),0)</x:f>
        <x:v>1.3920171102661616</x:v>
      </x:c>
      <x:c r="AZ27" s="46" t="n">
        <x:f>IFERROR(AZ14/('09_借入返済'!AZ8+'09_借入返済'!AZ9+'09_借入返済'!AZ12),0)</x:f>
        <x:v>1.7334747148288936</x:v>
      </x:c>
      <x:c r="BA27" s="46" t="n">
        <x:f>IFERROR(BA14/('09_借入返済'!BA8+'09_借入返済'!BA9+'09_借入返済'!BA12),0)</x:f>
        <x:v>1.3920171102661616</x:v>
      </x:c>
      <x:c r="BB27" s="46" t="n">
        <x:f>IFERROR(BB14/('09_借入返済'!BB8+'09_借入返済'!BB9+'09_借入返済'!BB12),0)</x:f>
        <x:v>47.56293764258557</x:v>
      </x:c>
      <x:c r="BC27" s="46" t="n">
        <x:f>IFERROR(BC14/('09_借入返済'!BC8+'09_借入返済'!BC9+'09_借入返済'!BC12),0)</x:f>
        <x:v>47.56293764258557</x:v>
      </x:c>
      <x:c r="BD27" s="46" t="n">
        <x:f>IFERROR(BD14/('09_借入返済'!BD8+'09_借入返済'!BD9+'09_借入返済'!BD12),0)</x:f>
        <x:v>1.3920171102661616</x:v>
      </x:c>
      <x:c r="BE27" s="46" t="n">
        <x:f>IFERROR(BE14/('09_借入返済'!BE8+'09_借入返済'!BE9+'09_借入返済'!BE12),0)</x:f>
        <x:v>1.7334747148288936</x:v>
      </x:c>
      <x:c r="BF27" s="46" t="n">
        <x:f>IFERROR(BF14/('09_借入返済'!BF8+'09_借入返済'!BF9+'09_借入返済'!BF12),0)</x:f>
        <x:v>1.3920171102661616</x:v>
      </x:c>
      <x:c r="BG27" s="46" t="n">
        <x:f>IFERROR(BG14/('09_借入返済'!BG8+'09_借入返済'!BG9+'09_借入返済'!BG12),0)</x:f>
        <x:v>47.56293764258557</x:v>
      </x:c>
      <x:c r="BH27" s="46" t="n">
        <x:f>IFERROR(BH14/('09_借入返済'!BH8+'09_借入返済'!BH9+'09_借入返済'!BH12),0)</x:f>
        <x:v>88.21838269961977</x:v>
      </x:c>
      <x:c r="BI27" s="46" t="n">
        <x:f>IFERROR(BI14/('09_借入返済'!BI8+'09_借入返済'!BI9+'09_借入返済'!BI12),0)</x:f>
        <x:v>78.82450266159694</x:v>
      </x:c>
      <x:c r="BJ27" s="46" t="n">
        <x:f>IFERROR(BJ14/('09_借入返済'!BJ8+'09_借入返済'!BJ9+'09_借入返済'!BJ12),0)</x:f>
        <x:v>11.910185361216731</x:v>
      </x:c>
    </x:row>
    <x:row r="28">
      <x:c r="A28" s="12" t="str">
        <x:v>財務安全性</x:v>
      </x:c>
      <x:c r="B28" s="12" t="str">
        <x:v>債務償還年数</x:v>
      </x:c>
      <x:c r="C28" s="46" t="n">
        <x:f>IFERROR(C25/(C14*12),0)</x:f>
        <x:v>35.91909871742863</x:v>
      </x:c>
      <x:c r="D28" s="46" t="n">
        <x:f>IFERROR(D25/(D14*12),0)</x:f>
        <x:v>28.843801165530905</x:v>
      </x:c>
      <x:c r="E28" s="46" t="n">
        <x:f>IFERROR(E25/(E14*12),0)</x:f>
        <x:v>35.91909871742863</x:v>
      </x:c>
      <x:c r="F28" s="46" t="n">
        <x:f>IFERROR(F25/(F14*12),0)</x:f>
        <x:v>1.0512386845347501</x:v>
      </x:c>
      <x:c r="G28" s="46" t="n">
        <x:f>IFERROR(G25/(G14*12),0)</x:f>
        <x:v>1.0512386845347501</x:v>
      </x:c>
      <x:c r="H28" s="46" t="n">
        <x:f>IFERROR(H25/(H14*12),0)</x:f>
        <x:v>35.91909871742863</x:v>
      </x:c>
      <x:c r="I28" s="46" t="n">
        <x:f>IFERROR(I25/(I14*12),0)</x:f>
        <x:v>28.843801165530905</x:v>
      </x:c>
      <x:c r="J28" s="46" t="n">
        <x:f>IFERROR(J25/(J14*12),0)</x:f>
        <x:v>35.91909871742863</x:v>
      </x:c>
      <x:c r="K28" s="46" t="n">
        <x:f>IFERROR(K25/(K14*12),0)</x:f>
        <x:v>1.0512386845347501</x:v>
      </x:c>
      <x:c r="L28" s="46" t="n">
        <x:f>IFERROR(L25/(L14*12),0)</x:f>
        <x:v>0.5667752963715974</x:v>
      </x:c>
      <x:c r="M28" s="46" t="n">
        <x:f>IFERROR(M25/(M14*12),0)</x:f>
        <x:v>0.6343205261269584</x:v>
      </x:c>
      <x:c r="N28" s="46" t="n">
        <x:f>IFERROR(N25/(N14*12),0)</x:f>
        <x:v>4.1980874758520175</x:v>
      </x:c>
      <x:c r="O28" s="46" t="n">
        <x:f>IFERROR(O25/(O14*12),0)</x:f>
        <x:v>35.91909871742863</x:v>
      </x:c>
      <x:c r="P28" s="46" t="n">
        <x:f>IFERROR(P25/(P14*12),0)</x:f>
        <x:v>28.843801165530905</x:v>
      </x:c>
      <x:c r="Q28" s="46" t="n">
        <x:f>IFERROR(Q25/(Q14*12),0)</x:f>
        <x:v>35.91909871742863</x:v>
      </x:c>
      <x:c r="R28" s="46" t="n">
        <x:f>IFERROR(R25/(R14*12),0)</x:f>
        <x:v>1.0512386845347501</x:v>
      </x:c>
      <x:c r="S28" s="46" t="n">
        <x:f>IFERROR(S25/(S14*12),0)</x:f>
        <x:v>1.0512386845347501</x:v>
      </x:c>
      <x:c r="T28" s="46" t="n">
        <x:f>IFERROR(T25/(T14*12),0)</x:f>
        <x:v>35.91909871742863</x:v>
      </x:c>
      <x:c r="U28" s="46" t="n">
        <x:f>IFERROR(U25/(U14*12),0)</x:f>
        <x:v>28.843801165530905</x:v>
      </x:c>
      <x:c r="V28" s="46" t="n">
        <x:f>IFERROR(V25/(V14*12),0)</x:f>
        <x:v>35.91909871742863</x:v>
      </x:c>
      <x:c r="W28" s="46" t="n">
        <x:f>IFERROR(W25/(W14*12),0)</x:f>
        <x:v>1.0512386845347501</x:v>
      </x:c>
      <x:c r="X28" s="46" t="n">
        <x:f>IFERROR(X25/(X14*12),0)</x:f>
        <x:v>0.5667752963715974</x:v>
      </x:c>
      <x:c r="Y28" s="46" t="n">
        <x:f>IFERROR(Y25/(Y14*12),0)</x:f>
        <x:v>0.6100849779478754</x:v>
      </x:c>
      <x:c r="Z28" s="46" t="n">
        <x:f>IFERROR(Z25/(Z14*12),0)</x:f>
        <x:v>4.1980874758520175</x:v>
      </x:c>
      <x:c r="AA28" s="46" t="n">
        <x:f>IFERROR(AA25/(AA14*12),0)</x:f>
        <x:v>35.91909871742863</x:v>
      </x:c>
      <x:c r="AB28" s="46" t="n">
        <x:f>IFERROR(AB25/(AB14*12),0)</x:f>
        <x:v>28.843801165530905</x:v>
      </x:c>
      <x:c r="AC28" s="46" t="n">
        <x:f>IFERROR(AC25/(AC14*12),0)</x:f>
        <x:v>35.91909871742863</x:v>
      </x:c>
      <x:c r="AD28" s="46" t="n">
        <x:f>IFERROR(AD25/(AD14*12),0)</x:f>
        <x:v>1.0512386845347501</x:v>
      </x:c>
      <x:c r="AE28" s="46" t="n">
        <x:f>IFERROR(AE25/(AE14*12),0)</x:f>
        <x:v>1.0512386845347501</x:v>
      </x:c>
      <x:c r="AF28" s="46" t="n">
        <x:f>IFERROR(AF25/(AF14*12),0)</x:f>
        <x:v>35.91909871742863</x:v>
      </x:c>
      <x:c r="AG28" s="46" t="n">
        <x:f>IFERROR(AG25/(AG14*12),0)</x:f>
        <x:v>28.843801165530905</x:v>
      </x:c>
      <x:c r="AH28" s="46" t="n">
        <x:f>IFERROR(AH25/(AH14*12),0)</x:f>
        <x:v>35.91909871742863</x:v>
      </x:c>
      <x:c r="AI28" s="46" t="n">
        <x:f>IFERROR(AI25/(AI14*12),0)</x:f>
        <x:v>1.0512386845347501</x:v>
      </x:c>
      <x:c r="AJ28" s="46" t="n">
        <x:f>IFERROR(AJ25/(AJ14*12),0)</x:f>
        <x:v>0.5667752963715974</x:v>
      </x:c>
      <x:c r="AK28" s="46" t="n">
        <x:f>IFERROR(AK25/(AK14*12),0)</x:f>
        <x:v>0.6343205261269584</x:v>
      </x:c>
      <x:c r="AL28" s="46" t="n">
        <x:f>IFERROR(AL25/(AL14*12),0)</x:f>
        <x:v>4.1980874758520175</x:v>
      </x:c>
      <x:c r="AM28" s="46" t="n">
        <x:f>IFERROR(AM25/(AM14*12),0)</x:f>
        <x:v>35.91909871742863</x:v>
      </x:c>
      <x:c r="AN28" s="46" t="n">
        <x:f>IFERROR(AN25/(AN14*12),0)</x:f>
        <x:v>28.843801165530905</x:v>
      </x:c>
      <x:c r="AO28" s="46" t="n">
        <x:f>IFERROR(AO25/(AO14*12),0)</x:f>
        <x:v>35.91909871742863</x:v>
      </x:c>
      <x:c r="AP28" s="46" t="n">
        <x:f>IFERROR(AP25/(AP14*12),0)</x:f>
        <x:v>1.0512386845347501</x:v>
      </x:c>
      <x:c r="AQ28" s="46" t="n">
        <x:f>IFERROR(AQ25/(AQ14*12),0)</x:f>
        <x:v>1.0512386845347501</x:v>
      </x:c>
      <x:c r="AR28" s="46" t="n">
        <x:f>IFERROR(AR25/(AR14*12),0)</x:f>
        <x:v>35.91909871742863</x:v>
      </x:c>
      <x:c r="AS28" s="46" t="n">
        <x:f>IFERROR(AS25/(AS14*12),0)</x:f>
        <x:v>28.843801165530905</x:v>
      </x:c>
      <x:c r="AT28" s="46" t="n">
        <x:f>IFERROR(AT25/(AT14*12),0)</x:f>
        <x:v>35.91909871742863</x:v>
      </x:c>
      <x:c r="AU28" s="46" t="n">
        <x:f>IFERROR(AU25/(AU14*12),0)</x:f>
        <x:v>1.0512386845347501</x:v>
      </x:c>
      <x:c r="AV28" s="46" t="n">
        <x:f>IFERROR(AV25/(AV14*12),0)</x:f>
        <x:v>0.5667752963715974</x:v>
      </x:c>
      <x:c r="AW28" s="46" t="n">
        <x:f>IFERROR(AW25/(AW14*12),0)</x:f>
        <x:v>0.6343205261269584</x:v>
      </x:c>
      <x:c r="AX28" s="46" t="n">
        <x:f>IFERROR(AX25/(AX14*12),0)</x:f>
        <x:v>4.1980874758520175</x:v>
      </x:c>
      <x:c r="AY28" s="46" t="n">
        <x:f>IFERROR(AY25/(AY14*12),0)</x:f>
        <x:v>35.91909871742863</x:v>
      </x:c>
      <x:c r="AZ28" s="46" t="n">
        <x:f>IFERROR(AZ25/(AZ14*12),0)</x:f>
        <x:v>28.843801165530905</x:v>
      </x:c>
      <x:c r="BA28" s="46" t="n">
        <x:f>IFERROR(BA25/(BA14*12),0)</x:f>
        <x:v>35.91909871742863</x:v>
      </x:c>
      <x:c r="BB28" s="46" t="n">
        <x:f>IFERROR(BB25/(BB14*12),0)</x:f>
        <x:v>1.0512386845347501</x:v>
      </x:c>
      <x:c r="BC28" s="46" t="n">
        <x:f>IFERROR(BC25/(BC14*12),0)</x:f>
        <x:v>1.0512386845347501</x:v>
      </x:c>
      <x:c r="BD28" s="46" t="n">
        <x:f>IFERROR(BD25/(BD14*12),0)</x:f>
        <x:v>35.91909871742863</x:v>
      </x:c>
      <x:c r="BE28" s="46" t="n">
        <x:f>IFERROR(BE25/(BE14*12),0)</x:f>
        <x:v>28.843801165530905</x:v>
      </x:c>
      <x:c r="BF28" s="46" t="n">
        <x:f>IFERROR(BF25/(BF14*12),0)</x:f>
        <x:v>35.91909871742863</x:v>
      </x:c>
      <x:c r="BG28" s="46" t="n">
        <x:f>IFERROR(BG25/(BG14*12),0)</x:f>
        <x:v>1.0512386845347501</x:v>
      </x:c>
      <x:c r="BH28" s="46" t="n">
        <x:f>IFERROR(BH25/(BH14*12),0)</x:f>
        <x:v>0.5667752963715974</x:v>
      </x:c>
      <x:c r="BI28" s="46" t="n">
        <x:f>IFERROR(BI25/(BI14*12),0)</x:f>
        <x:v>0.6343205261269584</x:v>
      </x:c>
      <x:c r="BJ28" s="46" t="n">
        <x:f>IFERROR(BJ25/(BJ14*12),0)</x:f>
        <x:v>4.1980874758520175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</x:row>
  </x:sheetData>
  <x:mergeCells>
    <x:mergeCell ref="A1:B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</x:cols>
  <x:sheetData>
    <x:row r="1">
      <x:c r="A1" s="5" t="str">
        <x:v>モデル連携｜入力ページから3表・銀行提出モデルへ渡す標準アウトプット</x:v>
      </x:c>
    </x:row>
    <x:row r="5">
      <x:c r="A5" s="32" t="str">
        <x:v>区分</x:v>
      </x:c>
      <x:c r="B5" s="32" t="str">
        <x:v>項目</x:v>
      </x:c>
      <x:c r="C5" s="32" t="str">
        <x:v>2026/04</x:v>
      </x:c>
      <x:c r="D5" s="32" t="str">
        <x:v>2026/05</x:v>
      </x:c>
      <x:c r="E5" s="32" t="str">
        <x:v>2026/06</x:v>
      </x:c>
      <x:c r="F5" s="32" t="str">
        <x:v>2026/07</x:v>
      </x:c>
      <x:c r="G5" s="32" t="str">
        <x:v>2026/08</x:v>
      </x:c>
      <x:c r="H5" s="32" t="str">
        <x:v>2026/09</x:v>
      </x:c>
      <x:c r="I5" s="32" t="str">
        <x:v>2026/10</x:v>
      </x:c>
      <x:c r="J5" s="32" t="str">
        <x:v>2026/11</x:v>
      </x:c>
      <x:c r="K5" s="32" t="str">
        <x:v>2026/12</x:v>
      </x:c>
      <x:c r="L5" s="32" t="str">
        <x:v>2027/01</x:v>
      </x:c>
      <x:c r="M5" s="32" t="str">
        <x:v>2027/02</x:v>
      </x:c>
      <x:c r="N5" s="32" t="str">
        <x:v>2027/03</x:v>
      </x:c>
      <x:c r="O5" s="32" t="str">
        <x:v>2027/04</x:v>
      </x:c>
      <x:c r="P5" s="32" t="str">
        <x:v>2027/05</x:v>
      </x:c>
      <x:c r="Q5" s="32" t="str">
        <x:v>2027/06</x:v>
      </x:c>
      <x:c r="R5" s="32" t="str">
        <x:v>2027/07</x:v>
      </x:c>
      <x:c r="S5" s="32" t="str">
        <x:v>2027/08</x:v>
      </x:c>
      <x:c r="T5" s="32" t="str">
        <x:v>2027/09</x:v>
      </x:c>
      <x:c r="U5" s="32" t="str">
        <x:v>2027/10</x:v>
      </x:c>
      <x:c r="V5" s="32" t="str">
        <x:v>2027/11</x:v>
      </x:c>
      <x:c r="W5" s="32" t="str">
        <x:v>2027/12</x:v>
      </x:c>
      <x:c r="X5" s="32" t="str">
        <x:v>2028/01</x:v>
      </x:c>
      <x:c r="Y5" s="32" t="str">
        <x:v>2028/02</x:v>
      </x:c>
      <x:c r="Z5" s="32" t="str">
        <x:v>2028/03</x:v>
      </x:c>
      <x:c r="AA5" s="32" t="str">
        <x:v>2028/04</x:v>
      </x:c>
      <x:c r="AB5" s="32" t="str">
        <x:v>2028/05</x:v>
      </x:c>
      <x:c r="AC5" s="32" t="str">
        <x:v>2028/06</x:v>
      </x:c>
      <x:c r="AD5" s="32" t="str">
        <x:v>2028/07</x:v>
      </x:c>
      <x:c r="AE5" s="32" t="str">
        <x:v>2028/08</x:v>
      </x:c>
      <x:c r="AF5" s="32" t="str">
        <x:v>2028/09</x:v>
      </x:c>
      <x:c r="AG5" s="32" t="str">
        <x:v>2028/10</x:v>
      </x:c>
      <x:c r="AH5" s="32" t="str">
        <x:v>2028/11</x:v>
      </x:c>
      <x:c r="AI5" s="32" t="str">
        <x:v>2028/12</x:v>
      </x:c>
      <x:c r="AJ5" s="32" t="str">
        <x:v>2029/01</x:v>
      </x:c>
      <x:c r="AK5" s="32" t="str">
        <x:v>2029/02</x:v>
      </x:c>
      <x:c r="AL5" s="32" t="str">
        <x:v>2029/03</x:v>
      </x:c>
      <x:c r="AM5" s="32" t="str">
        <x:v>2029/04</x:v>
      </x:c>
      <x:c r="AN5" s="32" t="str">
        <x:v>2029/05</x:v>
      </x:c>
      <x:c r="AO5" s="32" t="str">
        <x:v>2029/06</x:v>
      </x:c>
      <x:c r="AP5" s="32" t="str">
        <x:v>2029/07</x:v>
      </x:c>
      <x:c r="AQ5" s="32" t="str">
        <x:v>2029/08</x:v>
      </x:c>
      <x:c r="AR5" s="32" t="str">
        <x:v>2029/09</x:v>
      </x:c>
      <x:c r="AS5" s="32" t="str">
        <x:v>2029/10</x:v>
      </x:c>
      <x:c r="AT5" s="32" t="str">
        <x:v>2029/11</x:v>
      </x:c>
      <x:c r="AU5" s="32" t="str">
        <x:v>2029/12</x:v>
      </x:c>
      <x:c r="AV5" s="32" t="str">
        <x:v>2030/01</x:v>
      </x:c>
      <x:c r="AW5" s="32" t="str">
        <x:v>2030/02</x:v>
      </x:c>
      <x:c r="AX5" s="32" t="str">
        <x:v>2030/03</x:v>
      </x:c>
      <x:c r="AY5" s="32" t="str">
        <x:v>2030/04</x:v>
      </x:c>
      <x:c r="AZ5" s="32" t="str">
        <x:v>2030/05</x:v>
      </x:c>
      <x:c r="BA5" s="32" t="str">
        <x:v>2030/06</x:v>
      </x:c>
      <x:c r="BB5" s="32" t="str">
        <x:v>2030/07</x:v>
      </x:c>
      <x:c r="BC5" s="32" t="str">
        <x:v>2030/08</x:v>
      </x:c>
      <x:c r="BD5" s="32" t="str">
        <x:v>2030/09</x:v>
      </x:c>
      <x:c r="BE5" s="32" t="str">
        <x:v>2030/10</x:v>
      </x:c>
      <x:c r="BF5" s="32" t="str">
        <x:v>2030/11</x:v>
      </x:c>
      <x:c r="BG5" s="32" t="str">
        <x:v>2030/12</x:v>
      </x:c>
      <x:c r="BH5" s="32" t="str">
        <x:v>2031/01</x:v>
      </x:c>
      <x:c r="BI5" s="32" t="str">
        <x:v>2031/02</x:v>
      </x:c>
      <x:c r="BJ5" s="32" t="str">
        <x:v>2031/03</x:v>
      </x:c>
    </x:row>
    <x:row r="6">
      <x:c r="A6" t="str">
        <x:v>PL</x:v>
      </x:c>
      <x:c r="B6" t="str">
        <x:v>売上高</x:v>
      </x:c>
      <x:c r="C6" s="110" t="n">
        <x:f>'06_PL'!C8</x:f>
        <x:v>2490.9</x:v>
      </x:c>
      <x:c r="D6" s="110" t="n">
        <x:f>'06_PL'!D8</x:f>
        <x:v>2573.93</x:v>
      </x:c>
      <x:c r="E6" s="110" t="n">
        <x:f>'06_PL'!E8</x:f>
        <x:v>2490.9</x:v>
      </x:c>
      <x:c r="F6" s="110" t="n">
        <x:f>'06_PL'!F8</x:f>
        <x:v>6007.800000000001</x:v>
      </x:c>
      <x:c r="G6" s="110" t="n">
        <x:f>'06_PL'!G8</x:f>
        <x:v>6007.800000000001</x:v>
      </x:c>
      <x:c r="H6" s="110" t="n">
        <x:f>'06_PL'!H8</x:f>
        <x:v>2490.9</x:v>
      </x:c>
      <x:c r="I6" s="110" t="n">
        <x:f>'06_PL'!I8</x:f>
        <x:v>2573.93</x:v>
      </x:c>
      <x:c r="J6" s="110" t="n">
        <x:f>'06_PL'!J8</x:f>
        <x:v>2490.9</x:v>
      </x:c>
      <x:c r="K6" s="110" t="n">
        <x:f>'06_PL'!K8</x:f>
        <x:v>6007.800000000001</x:v>
      </x:c>
      <x:c r="L6" s="110" t="n">
        <x:f>'06_PL'!L8</x:f>
        <x:v>8935.13</x:v>
      </x:c>
      <x:c r="M6" s="110" t="n">
        <x:f>'06_PL'!M8</x:f>
        <x:v>8070.439999999999</x:v>
      </x:c>
      <x:c r="N6" s="110" t="n">
        <x:f>'06_PL'!N8</x:f>
        <x:v>3386.75</x:v>
      </x:c>
      <x:c r="O6" s="110" t="n">
        <x:f>'06_PL'!O8</x:f>
        <x:v>2490.9</x:v>
      </x:c>
      <x:c r="P6" s="110" t="n">
        <x:f>'06_PL'!P8</x:f>
        <x:v>2573.93</x:v>
      </x:c>
      <x:c r="Q6" s="110" t="n">
        <x:f>'06_PL'!Q8</x:f>
        <x:v>2490.9</x:v>
      </x:c>
      <x:c r="R6" s="110" t="n">
        <x:f>'06_PL'!R8</x:f>
        <x:v>6007.800000000001</x:v>
      </x:c>
      <x:c r="S6" s="110" t="n">
        <x:f>'06_PL'!S8</x:f>
        <x:v>6007.800000000001</x:v>
      </x:c>
      <x:c r="T6" s="110" t="n">
        <x:f>'06_PL'!T8</x:f>
        <x:v>2490.9</x:v>
      </x:c>
      <x:c r="U6" s="110" t="n">
        <x:f>'06_PL'!U8</x:f>
        <x:v>2573.93</x:v>
      </x:c>
      <x:c r="V6" s="110" t="n">
        <x:f>'06_PL'!V8</x:f>
        <x:v>2490.9</x:v>
      </x:c>
      <x:c r="W6" s="110" t="n">
        <x:f>'06_PL'!W8</x:f>
        <x:v>6007.800000000001</x:v>
      </x:c>
      <x:c r="X6" s="110" t="n">
        <x:f>'06_PL'!X8</x:f>
        <x:v>8935.13</x:v>
      </x:c>
      <x:c r="Y6" s="110" t="n">
        <x:f>'06_PL'!Y8</x:f>
        <x:v>8358.67</x:v>
      </x:c>
      <x:c r="Z6" s="110" t="n">
        <x:f>'06_PL'!Z8</x:f>
        <x:v>3386.75</x:v>
      </x:c>
      <x:c r="AA6" s="110" t="n">
        <x:f>'06_PL'!AA8</x:f>
        <x:v>2490.9</x:v>
      </x:c>
      <x:c r="AB6" s="110" t="n">
        <x:f>'06_PL'!AB8</x:f>
        <x:v>2573.93</x:v>
      </x:c>
      <x:c r="AC6" s="110" t="n">
        <x:f>'06_PL'!AC8</x:f>
        <x:v>2490.9</x:v>
      </x:c>
      <x:c r="AD6" s="110" t="n">
        <x:f>'06_PL'!AD8</x:f>
        <x:v>6007.800000000001</x:v>
      </x:c>
      <x:c r="AE6" s="110" t="n">
        <x:f>'06_PL'!AE8</x:f>
        <x:v>6007.800000000001</x:v>
      </x:c>
      <x:c r="AF6" s="110" t="n">
        <x:f>'06_PL'!AF8</x:f>
        <x:v>2490.9</x:v>
      </x:c>
      <x:c r="AG6" s="110" t="n">
        <x:f>'06_PL'!AG8</x:f>
        <x:v>2573.93</x:v>
      </x:c>
      <x:c r="AH6" s="110" t="n">
        <x:f>'06_PL'!AH8</x:f>
        <x:v>2490.9</x:v>
      </x:c>
      <x:c r="AI6" s="110" t="n">
        <x:f>'06_PL'!AI8</x:f>
        <x:v>6007.800000000001</x:v>
      </x:c>
      <x:c r="AJ6" s="110" t="n">
        <x:f>'06_PL'!AJ8</x:f>
        <x:v>8935.13</x:v>
      </x:c>
      <x:c r="AK6" s="110" t="n">
        <x:f>'06_PL'!AK8</x:f>
        <x:v>8070.439999999999</x:v>
      </x:c>
      <x:c r="AL6" s="110" t="n">
        <x:f>'06_PL'!AL8</x:f>
        <x:v>3386.75</x:v>
      </x:c>
      <x:c r="AM6" s="110" t="n">
        <x:f>'06_PL'!AM8</x:f>
        <x:v>2490.9</x:v>
      </x:c>
      <x:c r="AN6" s="110" t="n">
        <x:f>'06_PL'!AN8</x:f>
        <x:v>2573.93</x:v>
      </x:c>
      <x:c r="AO6" s="110" t="n">
        <x:f>'06_PL'!AO8</x:f>
        <x:v>2490.9</x:v>
      </x:c>
      <x:c r="AP6" s="110" t="n">
        <x:f>'06_PL'!AP8</x:f>
        <x:v>6007.800000000001</x:v>
      </x:c>
      <x:c r="AQ6" s="110" t="n">
        <x:f>'06_PL'!AQ8</x:f>
        <x:v>6007.800000000001</x:v>
      </x:c>
      <x:c r="AR6" s="110" t="n">
        <x:f>'06_PL'!AR8</x:f>
        <x:v>2490.9</x:v>
      </x:c>
      <x:c r="AS6" s="110" t="n">
        <x:f>'06_PL'!AS8</x:f>
        <x:v>2573.93</x:v>
      </x:c>
      <x:c r="AT6" s="110" t="n">
        <x:f>'06_PL'!AT8</x:f>
        <x:v>2490.9</x:v>
      </x:c>
      <x:c r="AU6" s="110" t="n">
        <x:f>'06_PL'!AU8</x:f>
        <x:v>6007.800000000001</x:v>
      </x:c>
      <x:c r="AV6" s="110" t="n">
        <x:f>'06_PL'!AV8</x:f>
        <x:v>8935.13</x:v>
      </x:c>
      <x:c r="AW6" s="110" t="n">
        <x:f>'06_PL'!AW8</x:f>
        <x:v>8070.439999999999</x:v>
      </x:c>
      <x:c r="AX6" s="110" t="n">
        <x:f>'06_PL'!AX8</x:f>
        <x:v>3386.75</x:v>
      </x:c>
      <x:c r="AY6" s="110" t="n">
        <x:f>'06_PL'!AY8</x:f>
        <x:v>2490.9</x:v>
      </x:c>
      <x:c r="AZ6" s="110" t="n">
        <x:f>'06_PL'!AZ8</x:f>
        <x:v>2573.93</x:v>
      </x:c>
      <x:c r="BA6" s="110" t="n">
        <x:f>'06_PL'!BA8</x:f>
        <x:v>2490.9</x:v>
      </x:c>
      <x:c r="BB6" s="110" t="n">
        <x:f>'06_PL'!BB8</x:f>
        <x:v>6007.800000000001</x:v>
      </x:c>
      <x:c r="BC6" s="110" t="n">
        <x:f>'06_PL'!BC8</x:f>
        <x:v>6007.800000000001</x:v>
      </x:c>
      <x:c r="BD6" s="110" t="n">
        <x:f>'06_PL'!BD8</x:f>
        <x:v>2490.9</x:v>
      </x:c>
      <x:c r="BE6" s="110" t="n">
        <x:f>'06_PL'!BE8</x:f>
        <x:v>2573.93</x:v>
      </x:c>
      <x:c r="BF6" s="110" t="n">
        <x:f>'06_PL'!BF8</x:f>
        <x:v>2490.9</x:v>
      </x:c>
      <x:c r="BG6" s="110" t="n">
        <x:f>'06_PL'!BG8</x:f>
        <x:v>6007.800000000001</x:v>
      </x:c>
      <x:c r="BH6" s="110" t="n">
        <x:f>'06_PL'!BH8</x:f>
        <x:v>8935.13</x:v>
      </x:c>
      <x:c r="BI6" s="110" t="n">
        <x:f>'06_PL'!BI8</x:f>
        <x:v>8070.439999999999</x:v>
      </x:c>
      <x:c r="BJ6" s="110" t="n">
        <x:f>'06_PL'!BJ8</x:f>
        <x:v>3386.75</x:v>
      </x:c>
    </x:row>
    <x:row r="7">
      <x:c r="A7" t="str">
        <x:v>PL</x:v>
      </x:c>
      <x:c r="B7" t="str">
        <x:v>GOP after MC / EBITDA</x:v>
      </x:c>
      <x:c r="C7" s="110" t="n">
        <x:f>'06_PL'!C29</x:f>
        <x:v>61.01675000000009</x:v>
      </x:c>
      <x:c r="D7" s="110" t="n">
        <x:f>'06_PL'!D29</x:f>
        <x:v>75.98397499999984</x:v>
      </x:c>
      <x:c r="E7" s="110" t="n">
        <x:f>'06_PL'!E29</x:f>
        <x:v>61.01675000000009</x:v>
      </x:c>
      <x:c r="F7" s="110" t="n">
        <x:f>'06_PL'!F29</x:f>
        <x:v>2084.8421000000008</x:v>
      </x:c>
      <x:c r="G7" s="110" t="n">
        <x:f>'06_PL'!G29</x:f>
        <x:v>2084.8421000000008</x:v>
      </x:c>
      <x:c r="H7" s="110" t="n">
        <x:f>'06_PL'!H29</x:f>
        <x:v>61.01675000000009</x:v>
      </x:c>
      <x:c r="I7" s="110" t="n">
        <x:f>'06_PL'!I29</x:f>
        <x:v>75.98397499999984</x:v>
      </x:c>
      <x:c r="J7" s="110" t="n">
        <x:f>'06_PL'!J29</x:f>
        <x:v>61.01675000000009</x:v>
      </x:c>
      <x:c r="K7" s="110" t="n">
        <x:f>'06_PL'!K29</x:f>
        <x:v>2084.8421000000008</x:v>
      </x:c>
      <x:c r="L7" s="110" t="n">
        <x:f>'06_PL'!L29</x:f>
        <x:v>3866.9057749999997</x:v>
      </x:c>
      <x:c r="M7" s="110" t="n">
        <x:f>'06_PL'!M29</x:f>
        <x:v>3455.140699999999</x:v>
      </x:c>
      <x:c r="N7" s="110" t="n">
        <x:f>'06_PL'!N29</x:f>
        <x:v>522.0631250000001</x:v>
      </x:c>
      <x:c r="O7" s="110" t="n">
        <x:f>'06_PL'!O29</x:f>
        <x:v>61.01675000000009</x:v>
      </x:c>
      <x:c r="P7" s="110" t="n">
        <x:f>'06_PL'!P29</x:f>
        <x:v>75.98397499999984</x:v>
      </x:c>
      <x:c r="Q7" s="110" t="n">
        <x:f>'06_PL'!Q29</x:f>
        <x:v>61.01675000000009</x:v>
      </x:c>
      <x:c r="R7" s="110" t="n">
        <x:f>'06_PL'!R29</x:f>
        <x:v>2084.8421000000008</x:v>
      </x:c>
      <x:c r="S7" s="110" t="n">
        <x:f>'06_PL'!S29</x:f>
        <x:v>2084.8421000000008</x:v>
      </x:c>
      <x:c r="T7" s="110" t="n">
        <x:f>'06_PL'!T29</x:f>
        <x:v>61.01675000000009</x:v>
      </x:c>
      <x:c r="U7" s="110" t="n">
        <x:f>'06_PL'!U29</x:f>
        <x:v>75.98397499999984</x:v>
      </x:c>
      <x:c r="V7" s="110" t="n">
        <x:f>'06_PL'!V29</x:f>
        <x:v>61.01675000000009</x:v>
      </x:c>
      <x:c r="W7" s="110" t="n">
        <x:f>'06_PL'!W29</x:f>
        <x:v>2084.8421000000008</x:v>
      </x:c>
      <x:c r="X7" s="110" t="n">
        <x:f>'06_PL'!X29</x:f>
        <x:v>3866.9057749999997</x:v>
      </x:c>
      <x:c r="Y7" s="110" t="n">
        <x:f>'06_PL'!Y29</x:f>
        <x:v>3592.3957249999994</x:v>
      </x:c>
      <x:c r="Z7" s="110" t="n">
        <x:f>'06_PL'!Z29</x:f>
        <x:v>522.0631250000001</x:v>
      </x:c>
      <x:c r="AA7" s="110" t="n">
        <x:f>'06_PL'!AA29</x:f>
        <x:v>61.01675000000009</x:v>
      </x:c>
      <x:c r="AB7" s="110" t="n">
        <x:f>'06_PL'!AB29</x:f>
        <x:v>75.98397499999984</x:v>
      </x:c>
      <x:c r="AC7" s="110" t="n">
        <x:f>'06_PL'!AC29</x:f>
        <x:v>61.01675000000009</x:v>
      </x:c>
      <x:c r="AD7" s="110" t="n">
        <x:f>'06_PL'!AD29</x:f>
        <x:v>2084.8421000000008</x:v>
      </x:c>
      <x:c r="AE7" s="110" t="n">
        <x:f>'06_PL'!AE29</x:f>
        <x:v>2084.8421000000008</x:v>
      </x:c>
      <x:c r="AF7" s="110" t="n">
        <x:f>'06_PL'!AF29</x:f>
        <x:v>61.01675000000009</x:v>
      </x:c>
      <x:c r="AG7" s="110" t="n">
        <x:f>'06_PL'!AG29</x:f>
        <x:v>75.98397499999984</x:v>
      </x:c>
      <x:c r="AH7" s="110" t="n">
        <x:f>'06_PL'!AH29</x:f>
        <x:v>61.01675000000009</x:v>
      </x:c>
      <x:c r="AI7" s="110" t="n">
        <x:f>'06_PL'!AI29</x:f>
        <x:v>2084.8421000000008</x:v>
      </x:c>
      <x:c r="AJ7" s="110" t="n">
        <x:f>'06_PL'!AJ29</x:f>
        <x:v>3866.9057749999997</x:v>
      </x:c>
      <x:c r="AK7" s="110" t="n">
        <x:f>'06_PL'!AK29</x:f>
        <x:v>3455.140699999999</x:v>
      </x:c>
      <x:c r="AL7" s="110" t="n">
        <x:f>'06_PL'!AL29</x:f>
        <x:v>522.0631250000001</x:v>
      </x:c>
      <x:c r="AM7" s="110" t="n">
        <x:f>'06_PL'!AM29</x:f>
        <x:v>61.01675000000009</x:v>
      </x:c>
      <x:c r="AN7" s="110" t="n">
        <x:f>'06_PL'!AN29</x:f>
        <x:v>75.98397499999984</x:v>
      </x:c>
      <x:c r="AO7" s="110" t="n">
        <x:f>'06_PL'!AO29</x:f>
        <x:v>61.01675000000009</x:v>
      </x:c>
      <x:c r="AP7" s="110" t="n">
        <x:f>'06_PL'!AP29</x:f>
        <x:v>2084.8421000000008</x:v>
      </x:c>
      <x:c r="AQ7" s="110" t="n">
        <x:f>'06_PL'!AQ29</x:f>
        <x:v>2084.8421000000008</x:v>
      </x:c>
      <x:c r="AR7" s="110" t="n">
        <x:f>'06_PL'!AR29</x:f>
        <x:v>61.01675000000009</x:v>
      </x:c>
      <x:c r="AS7" s="110" t="n">
        <x:f>'06_PL'!AS29</x:f>
        <x:v>75.98397499999984</x:v>
      </x:c>
      <x:c r="AT7" s="110" t="n">
        <x:f>'06_PL'!AT29</x:f>
        <x:v>61.01675000000009</x:v>
      </x:c>
      <x:c r="AU7" s="110" t="n">
        <x:f>'06_PL'!AU29</x:f>
        <x:v>2084.8421000000008</x:v>
      </x:c>
      <x:c r="AV7" s="110" t="n">
        <x:f>'06_PL'!AV29</x:f>
        <x:v>3866.9057749999997</x:v>
      </x:c>
      <x:c r="AW7" s="110" t="n">
        <x:f>'06_PL'!AW29</x:f>
        <x:v>3455.140699999999</x:v>
      </x:c>
      <x:c r="AX7" s="110" t="n">
        <x:f>'06_PL'!AX29</x:f>
        <x:v>522.0631250000001</x:v>
      </x:c>
      <x:c r="AY7" s="110" t="n">
        <x:f>'06_PL'!AY29</x:f>
        <x:v>61.01675000000009</x:v>
      </x:c>
      <x:c r="AZ7" s="110" t="n">
        <x:f>'06_PL'!AZ29</x:f>
        <x:v>75.98397499999984</x:v>
      </x:c>
      <x:c r="BA7" s="110" t="n">
        <x:f>'06_PL'!BA29</x:f>
        <x:v>61.01675000000009</x:v>
      </x:c>
      <x:c r="BB7" s="110" t="n">
        <x:f>'06_PL'!BB29</x:f>
        <x:v>2084.8421000000008</x:v>
      </x:c>
      <x:c r="BC7" s="110" t="n">
        <x:f>'06_PL'!BC29</x:f>
        <x:v>2084.8421000000008</x:v>
      </x:c>
      <x:c r="BD7" s="110" t="n">
        <x:f>'06_PL'!BD29</x:f>
        <x:v>61.01675000000009</x:v>
      </x:c>
      <x:c r="BE7" s="110" t="n">
        <x:f>'06_PL'!BE29</x:f>
        <x:v>75.98397499999984</x:v>
      </x:c>
      <x:c r="BF7" s="110" t="n">
        <x:f>'06_PL'!BF29</x:f>
        <x:v>61.01675000000009</x:v>
      </x:c>
      <x:c r="BG7" s="110" t="n">
        <x:f>'06_PL'!BG29</x:f>
        <x:v>2084.8421000000008</x:v>
      </x:c>
      <x:c r="BH7" s="110" t="n">
        <x:f>'06_PL'!BH29</x:f>
        <x:v>3866.9057749999997</x:v>
      </x:c>
      <x:c r="BI7" s="110" t="n">
        <x:f>'06_PL'!BI29</x:f>
        <x:v>3455.140699999999</x:v>
      </x:c>
      <x:c r="BJ7" s="110" t="n">
        <x:f>'06_PL'!BJ29</x:f>
        <x:v>522.0631250000001</x:v>
      </x:c>
    </x:row>
    <x:row r="8">
      <x:c r="A8" t="str">
        <x:v>PL</x:v>
      </x:c>
      <x:c r="B8" t="str">
        <x:v>営業利益</x:v>
      </x:c>
      <x:c r="C8" s="110" t="n">
        <x:f>'06_PL'!C31</x:f>
        <x:v>-438.9832499999999</x:v>
      </x:c>
      <x:c r="D8" s="110" t="n">
        <x:f>'06_PL'!D31</x:f>
        <x:v>-424.0160250000001</x:v>
      </x:c>
      <x:c r="E8" s="110" t="n">
        <x:f>'06_PL'!E31</x:f>
        <x:v>-438.9832499999999</x:v>
      </x:c>
      <x:c r="F8" s="110" t="n">
        <x:f>'06_PL'!F31</x:f>
        <x:v>1584.8421000000008</x:v>
      </x:c>
      <x:c r="G8" s="110" t="n">
        <x:f>'06_PL'!G31</x:f>
        <x:v>1584.8421000000008</x:v>
      </x:c>
      <x:c r="H8" s="110" t="n">
        <x:f>'06_PL'!H31</x:f>
        <x:v>-438.9832499999999</x:v>
      </x:c>
      <x:c r="I8" s="110" t="n">
        <x:f>'06_PL'!I31</x:f>
        <x:v>-424.0160250000001</x:v>
      </x:c>
      <x:c r="J8" s="110" t="n">
        <x:f>'06_PL'!J31</x:f>
        <x:v>-438.9832499999999</x:v>
      </x:c>
      <x:c r="K8" s="110" t="n">
        <x:f>'06_PL'!K31</x:f>
        <x:v>1584.8421000000008</x:v>
      </x:c>
      <x:c r="L8" s="110" t="n">
        <x:f>'06_PL'!L31</x:f>
        <x:v>3366.9057749999997</x:v>
      </x:c>
      <x:c r="M8" s="110" t="n">
        <x:f>'06_PL'!M31</x:f>
        <x:v>2955.140699999999</x:v>
      </x:c>
      <x:c r="N8" s="110" t="n">
        <x:f>'06_PL'!N31</x:f>
        <x:v>22.063125000000127</x:v>
      </x:c>
      <x:c r="O8" s="110" t="n">
        <x:f>'06_PL'!O31</x:f>
        <x:v>-438.9832499999999</x:v>
      </x:c>
      <x:c r="P8" s="110" t="n">
        <x:f>'06_PL'!P31</x:f>
        <x:v>-424.0160250000001</x:v>
      </x:c>
      <x:c r="Q8" s="110" t="n">
        <x:f>'06_PL'!Q31</x:f>
        <x:v>-438.9832499999999</x:v>
      </x:c>
      <x:c r="R8" s="110" t="n">
        <x:f>'06_PL'!R31</x:f>
        <x:v>1584.8421000000008</x:v>
      </x:c>
      <x:c r="S8" s="110" t="n">
        <x:f>'06_PL'!S31</x:f>
        <x:v>1584.8421000000008</x:v>
      </x:c>
      <x:c r="T8" s="110" t="n">
        <x:f>'06_PL'!T31</x:f>
        <x:v>-438.9832499999999</x:v>
      </x:c>
      <x:c r="U8" s="110" t="n">
        <x:f>'06_PL'!U31</x:f>
        <x:v>-424.0160250000001</x:v>
      </x:c>
      <x:c r="V8" s="110" t="n">
        <x:f>'06_PL'!V31</x:f>
        <x:v>-438.9832499999999</x:v>
      </x:c>
      <x:c r="W8" s="110" t="n">
        <x:f>'06_PL'!W31</x:f>
        <x:v>1584.8421000000008</x:v>
      </x:c>
      <x:c r="X8" s="110" t="n">
        <x:f>'06_PL'!X31</x:f>
        <x:v>3366.9057749999997</x:v>
      </x:c>
      <x:c r="Y8" s="110" t="n">
        <x:f>'06_PL'!Y31</x:f>
        <x:v>3092.3957249999994</x:v>
      </x:c>
      <x:c r="Z8" s="110" t="n">
        <x:f>'06_PL'!Z31</x:f>
        <x:v>22.063125000000127</x:v>
      </x:c>
      <x:c r="AA8" s="110" t="n">
        <x:f>'06_PL'!AA31</x:f>
        <x:v>-438.9832499999999</x:v>
      </x:c>
      <x:c r="AB8" s="110" t="n">
        <x:f>'06_PL'!AB31</x:f>
        <x:v>-424.0160250000001</x:v>
      </x:c>
      <x:c r="AC8" s="110" t="n">
        <x:f>'06_PL'!AC31</x:f>
        <x:v>-438.9832499999999</x:v>
      </x:c>
      <x:c r="AD8" s="110" t="n">
        <x:f>'06_PL'!AD31</x:f>
        <x:v>1584.8421000000008</x:v>
      </x:c>
      <x:c r="AE8" s="110" t="n">
        <x:f>'06_PL'!AE31</x:f>
        <x:v>1584.8421000000008</x:v>
      </x:c>
      <x:c r="AF8" s="110" t="n">
        <x:f>'06_PL'!AF31</x:f>
        <x:v>-438.9832499999999</x:v>
      </x:c>
      <x:c r="AG8" s="110" t="n">
        <x:f>'06_PL'!AG31</x:f>
        <x:v>-424.0160250000001</x:v>
      </x:c>
      <x:c r="AH8" s="110" t="n">
        <x:f>'06_PL'!AH31</x:f>
        <x:v>-438.9832499999999</x:v>
      </x:c>
      <x:c r="AI8" s="110" t="n">
        <x:f>'06_PL'!AI31</x:f>
        <x:v>1584.8421000000008</x:v>
      </x:c>
      <x:c r="AJ8" s="110" t="n">
        <x:f>'06_PL'!AJ31</x:f>
        <x:v>3366.9057749999997</x:v>
      </x:c>
      <x:c r="AK8" s="110" t="n">
        <x:f>'06_PL'!AK31</x:f>
        <x:v>2955.140699999999</x:v>
      </x:c>
      <x:c r="AL8" s="110" t="n">
        <x:f>'06_PL'!AL31</x:f>
        <x:v>22.063125000000127</x:v>
      </x:c>
      <x:c r="AM8" s="110" t="n">
        <x:f>'06_PL'!AM31</x:f>
        <x:v>-438.9832499999999</x:v>
      </x:c>
      <x:c r="AN8" s="110" t="n">
        <x:f>'06_PL'!AN31</x:f>
        <x:v>-424.0160250000001</x:v>
      </x:c>
      <x:c r="AO8" s="110" t="n">
        <x:f>'06_PL'!AO31</x:f>
        <x:v>-438.9832499999999</x:v>
      </x:c>
      <x:c r="AP8" s="110" t="n">
        <x:f>'06_PL'!AP31</x:f>
        <x:v>1584.8421000000008</x:v>
      </x:c>
      <x:c r="AQ8" s="110" t="n">
        <x:f>'06_PL'!AQ31</x:f>
        <x:v>1584.8421000000008</x:v>
      </x:c>
      <x:c r="AR8" s="110" t="n">
        <x:f>'06_PL'!AR31</x:f>
        <x:v>-438.9832499999999</x:v>
      </x:c>
      <x:c r="AS8" s="110" t="n">
        <x:f>'06_PL'!AS31</x:f>
        <x:v>-424.0160250000001</x:v>
      </x:c>
      <x:c r="AT8" s="110" t="n">
        <x:f>'06_PL'!AT31</x:f>
        <x:v>-438.9832499999999</x:v>
      </x:c>
      <x:c r="AU8" s="110" t="n">
        <x:f>'06_PL'!AU31</x:f>
        <x:v>1584.8421000000008</x:v>
      </x:c>
      <x:c r="AV8" s="110" t="n">
        <x:f>'06_PL'!AV31</x:f>
        <x:v>3366.9057749999997</x:v>
      </x:c>
      <x:c r="AW8" s="110" t="n">
        <x:f>'06_PL'!AW31</x:f>
        <x:v>2955.140699999999</x:v>
      </x:c>
      <x:c r="AX8" s="110" t="n">
        <x:f>'06_PL'!AX31</x:f>
        <x:v>22.063125000000127</x:v>
      </x:c>
      <x:c r="AY8" s="110" t="n">
        <x:f>'06_PL'!AY31</x:f>
        <x:v>-438.9832499999999</x:v>
      </x:c>
      <x:c r="AZ8" s="110" t="n">
        <x:f>'06_PL'!AZ31</x:f>
        <x:v>-424.0160250000001</x:v>
      </x:c>
      <x:c r="BA8" s="110" t="n">
        <x:f>'06_PL'!BA31</x:f>
        <x:v>-438.9832499999999</x:v>
      </x:c>
      <x:c r="BB8" s="110" t="n">
        <x:f>'06_PL'!BB31</x:f>
        <x:v>1584.8421000000008</x:v>
      </x:c>
      <x:c r="BC8" s="110" t="n">
        <x:f>'06_PL'!BC31</x:f>
        <x:v>1584.8421000000008</x:v>
      </x:c>
      <x:c r="BD8" s="110" t="n">
        <x:f>'06_PL'!BD31</x:f>
        <x:v>-438.9832499999999</x:v>
      </x:c>
      <x:c r="BE8" s="110" t="n">
        <x:f>'06_PL'!BE31</x:f>
        <x:v>-424.0160250000001</x:v>
      </x:c>
      <x:c r="BF8" s="110" t="n">
        <x:f>'06_PL'!BF31</x:f>
        <x:v>-438.9832499999999</x:v>
      </x:c>
      <x:c r="BG8" s="110" t="n">
        <x:f>'06_PL'!BG31</x:f>
        <x:v>1584.8421000000008</x:v>
      </x:c>
      <x:c r="BH8" s="110" t="n">
        <x:f>'06_PL'!BH31</x:f>
        <x:v>3366.9057749999997</x:v>
      </x:c>
      <x:c r="BI8" s="110" t="n">
        <x:f>'06_PL'!BI31</x:f>
        <x:v>2955.140699999999</x:v>
      </x:c>
      <x:c r="BJ8" s="110" t="n">
        <x:f>'06_PL'!BJ31</x:f>
        <x:v>22.063125000000127</x:v>
      </x:c>
    </x:row>
    <x:row r="9">
      <x:c r="A9" t="str">
        <x:v>PL</x:v>
      </x:c>
      <x:c r="B9" t="str">
        <x:v>経常利益</x:v>
      </x:c>
      <x:c r="C9" s="110" t="n">
        <x:f>'06_PL'!C35</x:f>
        <x:v>-482.8165833333332</x:v>
      </x:c>
      <x:c r="D9" s="110" t="n">
        <x:f>'06_PL'!D35</x:f>
        <x:v>-467.84935833333344</x:v>
      </x:c>
      <x:c r="E9" s="110" t="n">
        <x:f>'06_PL'!E35</x:f>
        <x:v>-482.8165833333332</x:v>
      </x:c>
      <x:c r="F9" s="110" t="n">
        <x:f>'06_PL'!F35</x:f>
        <x:v>1541.0087666666675</x:v>
      </x:c>
      <x:c r="G9" s="110" t="n">
        <x:f>'06_PL'!G35</x:f>
        <x:v>1541.0087666666675</x:v>
      </x:c>
      <x:c r="H9" s="110" t="n">
        <x:f>'06_PL'!H35</x:f>
        <x:v>-482.8165833333332</x:v>
      </x:c>
      <x:c r="I9" s="110" t="n">
        <x:f>'06_PL'!I35</x:f>
        <x:v>-467.84935833333344</x:v>
      </x:c>
      <x:c r="J9" s="110" t="n">
        <x:f>'06_PL'!J35</x:f>
        <x:v>-482.8165833333332</x:v>
      </x:c>
      <x:c r="K9" s="110" t="n">
        <x:f>'06_PL'!K35</x:f>
        <x:v>1541.0087666666675</x:v>
      </x:c>
      <x:c r="L9" s="110" t="n">
        <x:f>'06_PL'!L35</x:f>
        <x:v>3323.0724416666662</x:v>
      </x:c>
      <x:c r="M9" s="110" t="n">
        <x:f>'06_PL'!M35</x:f>
        <x:v>2911.3073666666655</x:v>
      </x:c>
      <x:c r="N9" s="110" t="n">
        <x:f>'06_PL'!N35</x:f>
        <x:v>-21.77020833333321</x:v>
      </x:c>
      <x:c r="O9" s="110" t="n">
        <x:f>'06_PL'!O35</x:f>
        <x:v>-482.8165833333332</x:v>
      </x:c>
      <x:c r="P9" s="110" t="n">
        <x:f>'06_PL'!P35</x:f>
        <x:v>-467.84935833333344</x:v>
      </x:c>
      <x:c r="Q9" s="110" t="n">
        <x:f>'06_PL'!Q35</x:f>
        <x:v>-482.8165833333332</x:v>
      </x:c>
      <x:c r="R9" s="110" t="n">
        <x:f>'06_PL'!R35</x:f>
        <x:v>1541.0087666666675</x:v>
      </x:c>
      <x:c r="S9" s="110" t="n">
        <x:f>'06_PL'!S35</x:f>
        <x:v>1541.0087666666675</x:v>
      </x:c>
      <x:c r="T9" s="110" t="n">
        <x:f>'06_PL'!T35</x:f>
        <x:v>-482.8165833333332</x:v>
      </x:c>
      <x:c r="U9" s="110" t="n">
        <x:f>'06_PL'!U35</x:f>
        <x:v>-467.84935833333344</x:v>
      </x:c>
      <x:c r="V9" s="110" t="n">
        <x:f>'06_PL'!V35</x:f>
        <x:v>-482.8165833333332</x:v>
      </x:c>
      <x:c r="W9" s="110" t="n">
        <x:f>'06_PL'!W35</x:f>
        <x:v>1541.0087666666675</x:v>
      </x:c>
      <x:c r="X9" s="110" t="n">
        <x:f>'06_PL'!X35</x:f>
        <x:v>3323.0724416666662</x:v>
      </x:c>
      <x:c r="Y9" s="110" t="n">
        <x:f>'06_PL'!Y35</x:f>
        <x:v>3048.562391666666</x:v>
      </x:c>
      <x:c r="Z9" s="110" t="n">
        <x:f>'06_PL'!Z35</x:f>
        <x:v>-21.77020833333321</x:v>
      </x:c>
      <x:c r="AA9" s="110" t="n">
        <x:f>'06_PL'!AA35</x:f>
        <x:v>-482.8165833333332</x:v>
      </x:c>
      <x:c r="AB9" s="110" t="n">
        <x:f>'06_PL'!AB35</x:f>
        <x:v>-467.84935833333344</x:v>
      </x:c>
      <x:c r="AC9" s="110" t="n">
        <x:f>'06_PL'!AC35</x:f>
        <x:v>-482.8165833333332</x:v>
      </x:c>
      <x:c r="AD9" s="110" t="n">
        <x:f>'06_PL'!AD35</x:f>
        <x:v>1541.0087666666675</x:v>
      </x:c>
      <x:c r="AE9" s="110" t="n">
        <x:f>'06_PL'!AE35</x:f>
        <x:v>1541.0087666666675</x:v>
      </x:c>
      <x:c r="AF9" s="110" t="n">
        <x:f>'06_PL'!AF35</x:f>
        <x:v>-482.8165833333332</x:v>
      </x:c>
      <x:c r="AG9" s="110" t="n">
        <x:f>'06_PL'!AG35</x:f>
        <x:v>-467.84935833333344</x:v>
      </x:c>
      <x:c r="AH9" s="110" t="n">
        <x:f>'06_PL'!AH35</x:f>
        <x:v>-482.8165833333332</x:v>
      </x:c>
      <x:c r="AI9" s="110" t="n">
        <x:f>'06_PL'!AI35</x:f>
        <x:v>1541.0087666666675</x:v>
      </x:c>
      <x:c r="AJ9" s="110" t="n">
        <x:f>'06_PL'!AJ35</x:f>
        <x:v>3323.0724416666662</x:v>
      </x:c>
      <x:c r="AK9" s="110" t="n">
        <x:f>'06_PL'!AK35</x:f>
        <x:v>2911.3073666666655</x:v>
      </x:c>
      <x:c r="AL9" s="110" t="n">
        <x:f>'06_PL'!AL35</x:f>
        <x:v>-21.77020833333321</x:v>
      </x:c>
      <x:c r="AM9" s="110" t="n">
        <x:f>'06_PL'!AM35</x:f>
        <x:v>-482.8165833333332</x:v>
      </x:c>
      <x:c r="AN9" s="110" t="n">
        <x:f>'06_PL'!AN35</x:f>
        <x:v>-467.84935833333344</x:v>
      </x:c>
      <x:c r="AO9" s="110" t="n">
        <x:f>'06_PL'!AO35</x:f>
        <x:v>-482.8165833333332</x:v>
      </x:c>
      <x:c r="AP9" s="110" t="n">
        <x:f>'06_PL'!AP35</x:f>
        <x:v>1541.0087666666675</x:v>
      </x:c>
      <x:c r="AQ9" s="110" t="n">
        <x:f>'06_PL'!AQ35</x:f>
        <x:v>1541.0087666666675</x:v>
      </x:c>
      <x:c r="AR9" s="110" t="n">
        <x:f>'06_PL'!AR35</x:f>
        <x:v>-482.8165833333332</x:v>
      </x:c>
      <x:c r="AS9" s="110" t="n">
        <x:f>'06_PL'!AS35</x:f>
        <x:v>-467.84935833333344</x:v>
      </x:c>
      <x:c r="AT9" s="110" t="n">
        <x:f>'06_PL'!AT35</x:f>
        <x:v>-482.8165833333332</x:v>
      </x:c>
      <x:c r="AU9" s="110" t="n">
        <x:f>'06_PL'!AU35</x:f>
        <x:v>1541.0087666666675</x:v>
      </x:c>
      <x:c r="AV9" s="110" t="n">
        <x:f>'06_PL'!AV35</x:f>
        <x:v>3323.0724416666662</x:v>
      </x:c>
      <x:c r="AW9" s="110" t="n">
        <x:f>'06_PL'!AW35</x:f>
        <x:v>2911.3073666666655</x:v>
      </x:c>
      <x:c r="AX9" s="110" t="n">
        <x:f>'06_PL'!AX35</x:f>
        <x:v>-21.77020833333321</x:v>
      </x:c>
      <x:c r="AY9" s="110" t="n">
        <x:f>'06_PL'!AY35</x:f>
        <x:v>-482.8165833333332</x:v>
      </x:c>
      <x:c r="AZ9" s="110" t="n">
        <x:f>'06_PL'!AZ35</x:f>
        <x:v>-467.84935833333344</x:v>
      </x:c>
      <x:c r="BA9" s="110" t="n">
        <x:f>'06_PL'!BA35</x:f>
        <x:v>-482.8165833333332</x:v>
      </x:c>
      <x:c r="BB9" s="110" t="n">
        <x:f>'06_PL'!BB35</x:f>
        <x:v>1541.0087666666675</x:v>
      </x:c>
      <x:c r="BC9" s="110" t="n">
        <x:f>'06_PL'!BC35</x:f>
        <x:v>1541.0087666666675</x:v>
      </x:c>
      <x:c r="BD9" s="110" t="n">
        <x:f>'06_PL'!BD35</x:f>
        <x:v>-482.8165833333332</x:v>
      </x:c>
      <x:c r="BE9" s="110" t="n">
        <x:f>'06_PL'!BE35</x:f>
        <x:v>-467.84935833333344</x:v>
      </x:c>
      <x:c r="BF9" s="110" t="n">
        <x:f>'06_PL'!BF35</x:f>
        <x:v>-482.8165833333332</x:v>
      </x:c>
      <x:c r="BG9" s="110" t="n">
        <x:f>'06_PL'!BG35</x:f>
        <x:v>1541.0087666666675</x:v>
      </x:c>
      <x:c r="BH9" s="110" t="n">
        <x:f>'06_PL'!BH35</x:f>
        <x:v>3323.0724416666662</x:v>
      </x:c>
      <x:c r="BI9" s="110" t="n">
        <x:f>'06_PL'!BI35</x:f>
        <x:v>2911.3073666666655</x:v>
      </x:c>
      <x:c r="BJ9" s="110" t="n">
        <x:f>'06_PL'!BJ35</x:f>
        <x:v>-21.77020833333321</x:v>
      </x:c>
    </x:row>
    <x:row r="10">
      <x:c r="A10" t="str">
        <x:v>PL</x:v>
      </x:c>
      <x:c r="B10" t="str">
        <x:v>当期純利益</x:v>
      </x:c>
      <x:c r="C10" s="110" t="n">
        <x:f>'06_PL'!C37</x:f>
        <x:v>-557.2930833333332</x:v>
      </x:c>
      <x:c r="D10" s="110" t="n">
        <x:f>'06_PL'!D37</x:f>
        <x:v>-547.6084083333334</x:v>
      </x:c>
      <x:c r="E10" s="110" t="n">
        <x:f>'06_PL'!E37</x:f>
        <x:v>-557.2930833333332</x:v>
      </x:c>
      <x:c r="F10" s="110" t="n">
        <x:f>'06_PL'!F37</x:f>
        <x:v>752.2409666666672</x:v>
      </x:c>
      <x:c r="G10" s="110" t="n">
        <x:f>'06_PL'!G37</x:f>
        <x:v>752.2409666666672</x:v>
      </x:c>
      <x:c r="H10" s="110" t="n">
        <x:f>'06_PL'!H37</x:f>
        <x:v>-557.2930833333332</x:v>
      </x:c>
      <x:c r="I10" s="110" t="n">
        <x:f>'06_PL'!I37</x:f>
        <x:v>-547.6084083333334</x:v>
      </x:c>
      <x:c r="J10" s="110" t="n">
        <x:f>'06_PL'!J37</x:f>
        <x:v>-557.2930833333332</x:v>
      </x:c>
      <x:c r="K10" s="110" t="n">
        <x:f>'06_PL'!K37</x:f>
        <x:v>752.2409666666672</x:v>
      </x:c>
      <x:c r="L10" s="110" t="n">
        <x:f>'06_PL'!L37</x:f>
        <x:v>1905.3409916666662</x:v>
      </x:c>
      <x:c r="M10" s="110" t="n">
        <x:f>'06_PL'!M37</x:f>
        <x:v>1638.9047666666659</x:v>
      </x:c>
      <x:c r="N10" s="110" t="n">
        <x:f>'06_PL'!N37</x:f>
        <x:v>-258.9689583333332</x:v>
      </x:c>
      <x:c r="O10" s="110" t="n">
        <x:f>'06_PL'!O37</x:f>
        <x:v>-557.2930833333332</x:v>
      </x:c>
      <x:c r="P10" s="110" t="n">
        <x:f>'06_PL'!P37</x:f>
        <x:v>-547.6084083333334</x:v>
      </x:c>
      <x:c r="Q10" s="110" t="n">
        <x:f>'06_PL'!Q37</x:f>
        <x:v>-557.2930833333332</x:v>
      </x:c>
      <x:c r="R10" s="110" t="n">
        <x:f>'06_PL'!R37</x:f>
        <x:v>752.2409666666672</x:v>
      </x:c>
      <x:c r="S10" s="110" t="n">
        <x:f>'06_PL'!S37</x:f>
        <x:v>752.2409666666672</x:v>
      </x:c>
      <x:c r="T10" s="110" t="n">
        <x:f>'06_PL'!T37</x:f>
        <x:v>-557.2930833333332</x:v>
      </x:c>
      <x:c r="U10" s="110" t="n">
        <x:f>'06_PL'!U37</x:f>
        <x:v>-547.6084083333334</x:v>
      </x:c>
      <x:c r="V10" s="110" t="n">
        <x:f>'06_PL'!V37</x:f>
        <x:v>-557.2930833333332</x:v>
      </x:c>
      <x:c r="W10" s="110" t="n">
        <x:f>'06_PL'!W37</x:f>
        <x:v>752.2409666666672</x:v>
      </x:c>
      <x:c r="X10" s="110" t="n">
        <x:f>'06_PL'!X37</x:f>
        <x:v>1905.3409916666662</x:v>
      </x:c>
      <x:c r="Y10" s="110" t="n">
        <x:f>'06_PL'!Y37</x:f>
        <x:v>1727.7168416666661</x:v>
      </x:c>
      <x:c r="Z10" s="110" t="n">
        <x:f>'06_PL'!Z37</x:f>
        <x:v>-258.9689583333332</x:v>
      </x:c>
      <x:c r="AA10" s="110" t="n">
        <x:f>'06_PL'!AA37</x:f>
        <x:v>-557.2930833333332</x:v>
      </x:c>
      <x:c r="AB10" s="110" t="n">
        <x:f>'06_PL'!AB37</x:f>
        <x:v>-547.6084083333334</x:v>
      </x:c>
      <x:c r="AC10" s="110" t="n">
        <x:f>'06_PL'!AC37</x:f>
        <x:v>-557.2930833333332</x:v>
      </x:c>
      <x:c r="AD10" s="110" t="n">
        <x:f>'06_PL'!AD37</x:f>
        <x:v>752.2409666666672</x:v>
      </x:c>
      <x:c r="AE10" s="110" t="n">
        <x:f>'06_PL'!AE37</x:f>
        <x:v>752.2409666666672</x:v>
      </x:c>
      <x:c r="AF10" s="110" t="n">
        <x:f>'06_PL'!AF37</x:f>
        <x:v>-557.2930833333332</x:v>
      </x:c>
      <x:c r="AG10" s="110" t="n">
        <x:f>'06_PL'!AG37</x:f>
        <x:v>-547.6084083333334</x:v>
      </x:c>
      <x:c r="AH10" s="110" t="n">
        <x:f>'06_PL'!AH37</x:f>
        <x:v>-557.2930833333332</x:v>
      </x:c>
      <x:c r="AI10" s="110" t="n">
        <x:f>'06_PL'!AI37</x:f>
        <x:v>752.2409666666672</x:v>
      </x:c>
      <x:c r="AJ10" s="110" t="n">
        <x:f>'06_PL'!AJ37</x:f>
        <x:v>1905.3409916666662</x:v>
      </x:c>
      <x:c r="AK10" s="110" t="n">
        <x:f>'06_PL'!AK37</x:f>
        <x:v>1638.9047666666659</x:v>
      </x:c>
      <x:c r="AL10" s="110" t="n">
        <x:f>'06_PL'!AL37</x:f>
        <x:v>-258.9689583333332</x:v>
      </x:c>
      <x:c r="AM10" s="110" t="n">
        <x:f>'06_PL'!AM37</x:f>
        <x:v>-557.2930833333332</x:v>
      </x:c>
      <x:c r="AN10" s="110" t="n">
        <x:f>'06_PL'!AN37</x:f>
        <x:v>-547.6084083333334</x:v>
      </x:c>
      <x:c r="AO10" s="110" t="n">
        <x:f>'06_PL'!AO37</x:f>
        <x:v>-557.2930833333332</x:v>
      </x:c>
      <x:c r="AP10" s="110" t="n">
        <x:f>'06_PL'!AP37</x:f>
        <x:v>752.2409666666672</x:v>
      </x:c>
      <x:c r="AQ10" s="110" t="n">
        <x:f>'06_PL'!AQ37</x:f>
        <x:v>752.2409666666672</x:v>
      </x:c>
      <x:c r="AR10" s="110" t="n">
        <x:f>'06_PL'!AR37</x:f>
        <x:v>-557.2930833333332</x:v>
      </x:c>
      <x:c r="AS10" s="110" t="n">
        <x:f>'06_PL'!AS37</x:f>
        <x:v>-547.6084083333334</x:v>
      </x:c>
      <x:c r="AT10" s="110" t="n">
        <x:f>'06_PL'!AT37</x:f>
        <x:v>-557.2930833333332</x:v>
      </x:c>
      <x:c r="AU10" s="110" t="n">
        <x:f>'06_PL'!AU37</x:f>
        <x:v>752.2409666666672</x:v>
      </x:c>
      <x:c r="AV10" s="110" t="n">
        <x:f>'06_PL'!AV37</x:f>
        <x:v>1905.3409916666662</x:v>
      </x:c>
      <x:c r="AW10" s="110" t="n">
        <x:f>'06_PL'!AW37</x:f>
        <x:v>1638.9047666666659</x:v>
      </x:c>
      <x:c r="AX10" s="110" t="n">
        <x:f>'06_PL'!AX37</x:f>
        <x:v>-258.9689583333332</x:v>
      </x:c>
      <x:c r="AY10" s="110" t="n">
        <x:f>'06_PL'!AY37</x:f>
        <x:v>-557.2930833333332</x:v>
      </x:c>
      <x:c r="AZ10" s="110" t="n">
        <x:f>'06_PL'!AZ37</x:f>
        <x:v>-547.6084083333334</x:v>
      </x:c>
      <x:c r="BA10" s="110" t="n">
        <x:f>'06_PL'!BA37</x:f>
        <x:v>-557.2930833333332</x:v>
      </x:c>
      <x:c r="BB10" s="110" t="n">
        <x:f>'06_PL'!BB37</x:f>
        <x:v>752.2409666666672</x:v>
      </x:c>
      <x:c r="BC10" s="110" t="n">
        <x:f>'06_PL'!BC37</x:f>
        <x:v>752.2409666666672</x:v>
      </x:c>
      <x:c r="BD10" s="110" t="n">
        <x:f>'06_PL'!BD37</x:f>
        <x:v>-557.2930833333332</x:v>
      </x:c>
      <x:c r="BE10" s="110" t="n">
        <x:f>'06_PL'!BE37</x:f>
        <x:v>-547.6084083333334</x:v>
      </x:c>
      <x:c r="BF10" s="110" t="n">
        <x:f>'06_PL'!BF37</x:f>
        <x:v>-557.2930833333332</x:v>
      </x:c>
      <x:c r="BG10" s="110" t="n">
        <x:f>'06_PL'!BG37</x:f>
        <x:v>752.2409666666672</x:v>
      </x:c>
      <x:c r="BH10" s="110" t="n">
        <x:f>'06_PL'!BH37</x:f>
        <x:v>1905.3409916666662</x:v>
      </x:c>
      <x:c r="BI10" s="110" t="n">
        <x:f>'06_PL'!BI37</x:f>
        <x:v>1638.9047666666659</x:v>
      </x:c>
      <x:c r="BJ10" s="110" t="n">
        <x:f>'06_PL'!BJ37</x:f>
        <x:v>-258.9689583333332</x:v>
      </x:c>
    </x:row>
    <x:row r="11">
      <x:c r="A11" t="str">
        <x:v>BS</x:v>
      </x:c>
      <x:c r="B11" t="str">
        <x:v>現預金</x:v>
      </x:c>
      <x:c r="C11" s="110" t="n">
        <x:f>'07_BS'!C6</x:f>
        <x:v>27387.140166666668</x:v>
      </x:c>
      <x:c r="D11" s="110" t="n">
        <x:f>'07_BS'!D6</x:f>
        <x:v>27327.015629301077</x:v>
      </x:c>
      <x:c r="E11" s="110" t="n">
        <x:f>'07_BS'!E6</x:f>
        <x:v>27282.238675</x:v>
      </x:c>
      <x:c r="F11" s="110" t="n">
        <x:f>'07_BS'!F6</x:f>
        <x:v>28239.45726263441</x:v>
      </x:c>
      <x:c r="G11" s="110" t="n">
        <x:f>'07_BS'!G6</x:f>
        <x:v>29491.698229301077</x:v>
      </x:c>
      <x:c r="H11" s="110" t="n">
        <x:f>'07_BS'!H6</x:f>
        <x:v>29729.427525000003</x:v>
      </x:c>
      <x:c r="I11" s="110" t="n">
        <x:f>'07_BS'!I6</x:f>
        <x:v>29669.30298763441</x:v>
      </x:c>
      <x:c r="J11" s="110" t="n">
        <x:f>'07_BS'!J6</x:f>
        <x:v>29624.526033333335</x:v>
      </x:c>
      <x:c r="K11" s="110" t="n">
        <x:f>'07_BS'!K6</x:f>
        <x:v>30581.744620967744</x:v>
      </x:c>
      <x:c r="L11" s="110" t="n">
        <x:f>'07_BS'!L6</x:f>
        <x:v>32678.95786263441</x:v>
      </x:c>
      <x:c r="M11" s="110" t="n">
        <x:f>'07_BS'!M6</x:f>
        <x:v>34858.09304404762</x:v>
      </x:c>
      <x:c r="N11" s="110" t="n">
        <x:f>'07_BS'!N6</x:f>
        <x:v>35611.138170967744</x:v>
      </x:c>
      <x:c r="O11" s="110" t="n">
        <x:f>'07_BS'!O6</x:f>
        <x:v>35604.75071666667</x:v>
      </x:c>
      <x:c r="P11" s="110" t="n">
        <x:f>'07_BS'!P6</x:f>
        <x:v>35544.62617930108</x:v>
      </x:c>
      <x:c r="Q11" s="110" t="n">
        <x:f>'07_BS'!Q6</x:f>
        <x:v>35499.849225000005</x:v>
      </x:c>
      <x:c r="R11" s="110" t="n">
        <x:f>'07_BS'!R6</x:f>
        <x:v>36457.067812634414</x:v>
      </x:c>
      <x:c r="S11" s="110" t="n">
        <x:f>'07_BS'!S6</x:f>
        <x:v>37709.30877930108</x:v>
      </x:c>
      <x:c r="T11" s="110" t="n">
        <x:f>'07_BS'!T6</x:f>
        <x:v>37947.038075000004</x:v>
      </x:c>
      <x:c r="U11" s="110" t="n">
        <x:f>'07_BS'!U6</x:f>
        <x:v>37886.91353763441</x:v>
      </x:c>
      <x:c r="V11" s="110" t="n">
        <x:f>'07_BS'!V6</x:f>
        <x:v>37842.13658333334</x:v>
      </x:c>
      <x:c r="W11" s="110" t="n">
        <x:f>'07_BS'!W6</x:f>
        <x:v>38799.35517096775</x:v>
      </x:c>
      <x:c r="X11" s="110" t="n">
        <x:f>'07_BS'!X6</x:f>
        <x:v>40896.56841263441</x:v>
      </x:c>
      <x:c r="Y11" s="110" t="n">
        <x:f>'07_BS'!Y6</x:f>
        <x:v>43150.180693678165</x:v>
      </x:c>
      <x:c r="Z11" s="110" t="n">
        <x:f>'07_BS'!Z6</x:f>
        <x:v>43917.56079596774</x:v>
      </x:c>
      <x:c r="AA11" s="110" t="n">
        <x:f>'07_BS'!AA6</x:f>
        <x:v>43911.17334166667</x:v>
      </x:c>
      <x:c r="AB11" s="110" t="n">
        <x:f>'07_BS'!AB6</x:f>
        <x:v>43851.04880430108</x:v>
      </x:c>
      <x:c r="AC11" s="110" t="n">
        <x:f>'07_BS'!AC6</x:f>
        <x:v>43806.271850000005</x:v>
      </x:c>
      <x:c r="AD11" s="110" t="n">
        <x:f>'07_BS'!AD6</x:f>
        <x:v>44763.49043763441</x:v>
      </x:c>
      <x:c r="AE11" s="110" t="n">
        <x:f>'07_BS'!AE6</x:f>
        <x:v>46015.73140430108</x:v>
      </x:c>
      <x:c r="AF11" s="110" t="n">
        <x:f>'07_BS'!AF6</x:f>
        <x:v>46253.4607</x:v>
      </x:c>
      <x:c r="AG11" s="110" t="n">
        <x:f>'07_BS'!AG6</x:f>
        <x:v>46193.33616263441</x:v>
      </x:c>
      <x:c r="AH11" s="110" t="n">
        <x:f>'07_BS'!AH6</x:f>
        <x:v>46148.55920833334</x:v>
      </x:c>
      <x:c r="AI11" s="110" t="n">
        <x:f>'07_BS'!AI6</x:f>
        <x:v>47105.77779596775</x:v>
      </x:c>
      <x:c r="AJ11" s="110" t="n">
        <x:f>'07_BS'!AJ6</x:f>
        <x:v>49202.99103763441</x:v>
      </x:c>
      <x:c r="AK11" s="110" t="n">
        <x:f>'07_BS'!AK6</x:f>
        <x:v>51382.12621904763</x:v>
      </x:c>
      <x:c r="AL11" s="110" t="n">
        <x:f>'07_BS'!AL6</x:f>
        <x:v>52135.17134596775</x:v>
      </x:c>
      <x:c r="AM11" s="110" t="n">
        <x:f>'07_BS'!AM6</x:f>
        <x:v>52128.78389166667</x:v>
      </x:c>
      <x:c r="AN11" s="110" t="n">
        <x:f>'07_BS'!AN6</x:f>
        <x:v>52068.65935430108</x:v>
      </x:c>
      <x:c r="AO11" s="110" t="n">
        <x:f>'07_BS'!AO6</x:f>
        <x:v>52023.88240000001</x:v>
      </x:c>
      <x:c r="AP11" s="110" t="n">
        <x:f>'07_BS'!AP6</x:f>
        <x:v>52981.10098763442</x:v>
      </x:c>
      <x:c r="AQ11" s="110" t="n">
        <x:f>'07_BS'!AQ6</x:f>
        <x:v>54233.34195430108</x:v>
      </x:c>
      <x:c r="AR11" s="110" t="n">
        <x:f>'07_BS'!AR6</x:f>
        <x:v>54471.07125000001</x:v>
      </x:c>
      <x:c r="AS11" s="110" t="n">
        <x:f>'07_BS'!AS6</x:f>
        <x:v>54410.94671263442</x:v>
      </x:c>
      <x:c r="AT11" s="110" t="n">
        <x:f>'07_BS'!AT6</x:f>
        <x:v>54366.169758333344</x:v>
      </x:c>
      <x:c r="AU11" s="110" t="n">
        <x:f>'07_BS'!AU6</x:f>
        <x:v>55323.38834596775</x:v>
      </x:c>
      <x:c r="AV11" s="110" t="n">
        <x:f>'07_BS'!AV6</x:f>
        <x:v>57420.60158763442</x:v>
      </x:c>
      <x:c r="AW11" s="110" t="n">
        <x:f>'07_BS'!AW6</x:f>
        <x:v>59599.736769047624</x:v>
      </x:c>
      <x:c r="AX11" s="110" t="n">
        <x:f>'07_BS'!AX6</x:f>
        <x:v>60352.781895967746</x:v>
      </x:c>
      <x:c r="AY11" s="110" t="n">
        <x:f>'07_BS'!AY6</x:f>
        <x:v>60346.39444166667</x:v>
      </x:c>
      <x:c r="AZ11" s="110" t="n">
        <x:f>'07_BS'!AZ6</x:f>
        <x:v>60286.26990430108</x:v>
      </x:c>
      <x:c r="BA11" s="110" t="n">
        <x:f>'07_BS'!BA6</x:f>
        <x:v>60241.49295000001</x:v>
      </x:c>
      <x:c r="BB11" s="110" t="n">
        <x:f>'07_BS'!BB6</x:f>
        <x:v>61198.711537634415</x:v>
      </x:c>
      <x:c r="BC11" s="110" t="n">
        <x:f>'07_BS'!BC6</x:f>
        <x:v>62450.95250430108</x:v>
      </x:c>
      <x:c r="BD11" s="110" t="n">
        <x:f>'07_BS'!BD6</x:f>
        <x:v>62688.681800000006</x:v>
      </x:c>
      <x:c r="BE11" s="110" t="n">
        <x:f>'07_BS'!BE6</x:f>
        <x:v>62628.557262634415</x:v>
      </x:c>
      <x:c r="BF11" s="110" t="n">
        <x:f>'07_BS'!BF6</x:f>
        <x:v>62583.78030833334</x:v>
      </x:c>
      <x:c r="BG11" s="110" t="n">
        <x:f>'07_BS'!BG6</x:f>
        <x:v>63540.99889596775</x:v>
      </x:c>
      <x:c r="BH11" s="110" t="n">
        <x:f>'07_BS'!BH6</x:f>
        <x:v>65638.21213763441</x:v>
      </x:c>
      <x:c r="BI11" s="110" t="n">
        <x:f>'07_BS'!BI6</x:f>
        <x:v>67817.34731904762</x:v>
      </x:c>
      <x:c r="BJ11" s="110" t="n">
        <x:f>'07_BS'!BJ6</x:f>
        <x:v>68570.39244596774</x:v>
      </x:c>
    </x:row>
    <x:row r="12">
      <x:c r="A12" t="str">
        <x:v>BS</x:v>
      </x:c>
      <x:c r="B12" t="str">
        <x:v>借入金</x:v>
      </x:c>
      <x:c r="C12" s="110" t="n">
        <x:f>'07_BS'!C12</x:f>
        <x:v>26300</x:v>
      </x:c>
      <x:c r="D12" s="110" t="n">
        <x:f>'07_BS'!D12</x:f>
        <x:v>26300</x:v>
      </x:c>
      <x:c r="E12" s="110" t="n">
        <x:f>'07_BS'!E12</x:f>
        <x:v>26300</x:v>
      </x:c>
      <x:c r="F12" s="110" t="n">
        <x:f>'07_BS'!F12</x:f>
        <x:v>26300</x:v>
      </x:c>
      <x:c r="G12" s="110" t="n">
        <x:f>'07_BS'!G12</x:f>
        <x:v>26300</x:v>
      </x:c>
      <x:c r="H12" s="110" t="n">
        <x:f>'07_BS'!H12</x:f>
        <x:v>26300</x:v>
      </x:c>
      <x:c r="I12" s="110" t="n">
        <x:f>'07_BS'!I12</x:f>
        <x:v>26300</x:v>
      </x:c>
      <x:c r="J12" s="110" t="n">
        <x:f>'07_BS'!J12</x:f>
        <x:v>26300</x:v>
      </x:c>
      <x:c r="K12" s="110" t="n">
        <x:f>'07_BS'!K12</x:f>
        <x:v>26300</x:v>
      </x:c>
      <x:c r="L12" s="110" t="n">
        <x:f>'07_BS'!L12</x:f>
        <x:v>26300</x:v>
      </x:c>
      <x:c r="M12" s="110" t="n">
        <x:f>'07_BS'!M12</x:f>
        <x:v>26300</x:v>
      </x:c>
      <x:c r="N12" s="110" t="n">
        <x:f>'07_BS'!N12</x:f>
        <x:v>26300</x:v>
      </x:c>
      <x:c r="O12" s="110" t="n">
        <x:f>'07_BS'!O12</x:f>
        <x:v>26300</x:v>
      </x:c>
      <x:c r="P12" s="110" t="n">
        <x:f>'07_BS'!P12</x:f>
        <x:v>26300</x:v>
      </x:c>
      <x:c r="Q12" s="110" t="n">
        <x:f>'07_BS'!Q12</x:f>
        <x:v>26300</x:v>
      </x:c>
      <x:c r="R12" s="110" t="n">
        <x:f>'07_BS'!R12</x:f>
        <x:v>26300</x:v>
      </x:c>
      <x:c r="S12" s="110" t="n">
        <x:f>'07_BS'!S12</x:f>
        <x:v>26300</x:v>
      </x:c>
      <x:c r="T12" s="110" t="n">
        <x:f>'07_BS'!T12</x:f>
        <x:v>26300</x:v>
      </x:c>
      <x:c r="U12" s="110" t="n">
        <x:f>'07_BS'!U12</x:f>
        <x:v>26300</x:v>
      </x:c>
      <x:c r="V12" s="110" t="n">
        <x:f>'07_BS'!V12</x:f>
        <x:v>26300</x:v>
      </x:c>
      <x:c r="W12" s="110" t="n">
        <x:f>'07_BS'!W12</x:f>
        <x:v>26300</x:v>
      </x:c>
      <x:c r="X12" s="110" t="n">
        <x:f>'07_BS'!X12</x:f>
        <x:v>26300</x:v>
      </x:c>
      <x:c r="Y12" s="110" t="n">
        <x:f>'07_BS'!Y12</x:f>
        <x:v>26300</x:v>
      </x:c>
      <x:c r="Z12" s="110" t="n">
        <x:f>'07_BS'!Z12</x:f>
        <x:v>26300</x:v>
      </x:c>
      <x:c r="AA12" s="110" t="n">
        <x:f>'07_BS'!AA12</x:f>
        <x:v>26300</x:v>
      </x:c>
      <x:c r="AB12" s="110" t="n">
        <x:f>'07_BS'!AB12</x:f>
        <x:v>26300</x:v>
      </x:c>
      <x:c r="AC12" s="110" t="n">
        <x:f>'07_BS'!AC12</x:f>
        <x:v>26300</x:v>
      </x:c>
      <x:c r="AD12" s="110" t="n">
        <x:f>'07_BS'!AD12</x:f>
        <x:v>26300</x:v>
      </x:c>
      <x:c r="AE12" s="110" t="n">
        <x:f>'07_BS'!AE12</x:f>
        <x:v>26300</x:v>
      </x:c>
      <x:c r="AF12" s="110" t="n">
        <x:f>'07_BS'!AF12</x:f>
        <x:v>26300</x:v>
      </x:c>
      <x:c r="AG12" s="110" t="n">
        <x:f>'07_BS'!AG12</x:f>
        <x:v>26300</x:v>
      </x:c>
      <x:c r="AH12" s="110" t="n">
        <x:f>'07_BS'!AH12</x:f>
        <x:v>26300</x:v>
      </x:c>
      <x:c r="AI12" s="110" t="n">
        <x:f>'07_BS'!AI12</x:f>
        <x:v>26300</x:v>
      </x:c>
      <x:c r="AJ12" s="110" t="n">
        <x:f>'07_BS'!AJ12</x:f>
        <x:v>26300</x:v>
      </x:c>
      <x:c r="AK12" s="110" t="n">
        <x:f>'07_BS'!AK12</x:f>
        <x:v>26300</x:v>
      </x:c>
      <x:c r="AL12" s="110" t="n">
        <x:f>'07_BS'!AL12</x:f>
        <x:v>26300</x:v>
      </x:c>
      <x:c r="AM12" s="110" t="n">
        <x:f>'07_BS'!AM12</x:f>
        <x:v>26300</x:v>
      </x:c>
      <x:c r="AN12" s="110" t="n">
        <x:f>'07_BS'!AN12</x:f>
        <x:v>26300</x:v>
      </x:c>
      <x:c r="AO12" s="110" t="n">
        <x:f>'07_BS'!AO12</x:f>
        <x:v>26300</x:v>
      </x:c>
      <x:c r="AP12" s="110" t="n">
        <x:f>'07_BS'!AP12</x:f>
        <x:v>26300</x:v>
      </x:c>
      <x:c r="AQ12" s="110" t="n">
        <x:f>'07_BS'!AQ12</x:f>
        <x:v>26300</x:v>
      </x:c>
      <x:c r="AR12" s="110" t="n">
        <x:f>'07_BS'!AR12</x:f>
        <x:v>26300</x:v>
      </x:c>
      <x:c r="AS12" s="110" t="n">
        <x:f>'07_BS'!AS12</x:f>
        <x:v>26300</x:v>
      </x:c>
      <x:c r="AT12" s="110" t="n">
        <x:f>'07_BS'!AT12</x:f>
        <x:v>26300</x:v>
      </x:c>
      <x:c r="AU12" s="110" t="n">
        <x:f>'07_BS'!AU12</x:f>
        <x:v>26300</x:v>
      </x:c>
      <x:c r="AV12" s="110" t="n">
        <x:f>'07_BS'!AV12</x:f>
        <x:v>26300</x:v>
      </x:c>
      <x:c r="AW12" s="110" t="n">
        <x:f>'07_BS'!AW12</x:f>
        <x:v>26300</x:v>
      </x:c>
      <x:c r="AX12" s="110" t="n">
        <x:f>'07_BS'!AX12</x:f>
        <x:v>26300</x:v>
      </x:c>
      <x:c r="AY12" s="110" t="n">
        <x:f>'07_BS'!AY12</x:f>
        <x:v>26300</x:v>
      </x:c>
      <x:c r="AZ12" s="110" t="n">
        <x:f>'07_BS'!AZ12</x:f>
        <x:v>26300</x:v>
      </x:c>
      <x:c r="BA12" s="110" t="n">
        <x:f>'07_BS'!BA12</x:f>
        <x:v>26300</x:v>
      </x:c>
      <x:c r="BB12" s="110" t="n">
        <x:f>'07_BS'!BB12</x:f>
        <x:v>26300</x:v>
      </x:c>
      <x:c r="BC12" s="110" t="n">
        <x:f>'07_BS'!BC12</x:f>
        <x:v>26300</x:v>
      </x:c>
      <x:c r="BD12" s="110" t="n">
        <x:f>'07_BS'!BD12</x:f>
        <x:v>26300</x:v>
      </x:c>
      <x:c r="BE12" s="110" t="n">
        <x:f>'07_BS'!BE12</x:f>
        <x:v>26300</x:v>
      </x:c>
      <x:c r="BF12" s="110" t="n">
        <x:f>'07_BS'!BF12</x:f>
        <x:v>26300</x:v>
      </x:c>
      <x:c r="BG12" s="110" t="n">
        <x:f>'07_BS'!BG12</x:f>
        <x:v>26300</x:v>
      </x:c>
      <x:c r="BH12" s="110" t="n">
        <x:f>'07_BS'!BH12</x:f>
        <x:v>26300</x:v>
      </x:c>
      <x:c r="BI12" s="110" t="n">
        <x:f>'07_BS'!BI12</x:f>
        <x:v>26300</x:v>
      </x:c>
      <x:c r="BJ12" s="110" t="n">
        <x:f>'07_BS'!BJ12</x:f>
        <x:v>26300</x:v>
      </x:c>
    </x:row>
    <x:row r="13">
      <x:c r="A13" t="str">
        <x:v>BS</x:v>
      </x:c>
      <x:c r="B13" t="str">
        <x:v>純資産</x:v>
      </x:c>
      <x:c r="C13" s="110" t="n">
        <x:f>'07_BS'!C17</x:f>
        <x:v>69402.70691666666</x:v>
      </x:c>
      <x:c r="D13" s="110" t="n">
        <x:f>'07_BS'!D17</x:f>
        <x:v>68855.09850833334</x:v>
      </x:c>
      <x:c r="E13" s="110" t="n">
        <x:f>'07_BS'!E17</x:f>
        <x:v>68297.805425</x:v>
      </x:c>
      <x:c r="F13" s="110" t="n">
        <x:f>'07_BS'!F17</x:f>
        <x:v>69050.04639166666</x:v>
      </x:c>
      <x:c r="G13" s="110" t="n">
        <x:f>'07_BS'!G17</x:f>
        <x:v>69802.28735833333</x:v>
      </x:c>
      <x:c r="H13" s="110" t="n">
        <x:f>'07_BS'!H17</x:f>
        <x:v>69244.994275</x:v>
      </x:c>
      <x:c r="I13" s="110" t="n">
        <x:f>'07_BS'!I17</x:f>
        <x:v>68697.38586666666</x:v>
      </x:c>
      <x:c r="J13" s="110" t="n">
        <x:f>'07_BS'!J17</x:f>
        <x:v>68140.09278333334</x:v>
      </x:c>
      <x:c r="K13" s="110" t="n">
        <x:f>'07_BS'!K17</x:f>
        <x:v>68892.33375</x:v>
      </x:c>
      <x:c r="L13" s="110" t="n">
        <x:f>'07_BS'!L17</x:f>
        <x:v>70797.67474166666</x:v>
      </x:c>
      <x:c r="M13" s="110" t="n">
        <x:f>'07_BS'!M17</x:f>
        <x:v>72436.57950833334</x:v>
      </x:c>
      <x:c r="N13" s="110" t="n">
        <x:f>'07_BS'!N17</x:f>
        <x:v>72177.61055</x:v>
      </x:c>
      <x:c r="O13" s="110" t="n">
        <x:f>'07_BS'!O17</x:f>
        <x:v>71620.31746666667</x:v>
      </x:c>
      <x:c r="P13" s="110" t="n">
        <x:f>'07_BS'!P17</x:f>
        <x:v>71072.70905833333</x:v>
      </x:c>
      <x:c r="Q13" s="110" t="n">
        <x:f>'07_BS'!Q17</x:f>
        <x:v>70515.415975</x:v>
      </x:c>
      <x:c r="R13" s="110" t="n">
        <x:f>'07_BS'!R17</x:f>
        <x:v>71267.65694166668</x:v>
      </x:c>
      <x:c r="S13" s="110" t="n">
        <x:f>'07_BS'!S17</x:f>
        <x:v>72019.89790833334</x:v>
      </x:c>
      <x:c r="T13" s="110" t="n">
        <x:f>'07_BS'!T17</x:f>
        <x:v>71462.604825</x:v>
      </x:c>
      <x:c r="U13" s="110" t="n">
        <x:f>'07_BS'!U17</x:f>
        <x:v>70914.99641666666</x:v>
      </x:c>
      <x:c r="V13" s="110" t="n">
        <x:f>'07_BS'!V17</x:f>
        <x:v>70357.70333333334</x:v>
      </x:c>
      <x:c r="W13" s="110" t="n">
        <x:f>'07_BS'!W17</x:f>
        <x:v>71109.9443</x:v>
      </x:c>
      <x:c r="X13" s="110" t="n">
        <x:f>'07_BS'!X17</x:f>
        <x:v>73015.28529166667</x:v>
      </x:c>
      <x:c r="Y13" s="110" t="n">
        <x:f>'07_BS'!Y17</x:f>
        <x:v>74743.00213333333</x:v>
      </x:c>
      <x:c r="Z13" s="110" t="n">
        <x:f>'07_BS'!Z17</x:f>
        <x:v>74484.033175</x:v>
      </x:c>
      <x:c r="AA13" s="110" t="n">
        <x:f>'07_BS'!AA17</x:f>
        <x:v>73926.74009166667</x:v>
      </x:c>
      <x:c r="AB13" s="110" t="n">
        <x:f>'07_BS'!AB17</x:f>
        <x:v>73379.13168333334</x:v>
      </x:c>
      <x:c r="AC13" s="110" t="n">
        <x:f>'07_BS'!AC17</x:f>
        <x:v>72821.8386</x:v>
      </x:c>
      <x:c r="AD13" s="110" t="n">
        <x:f>'07_BS'!AD17</x:f>
        <x:v>73574.07956666667</x:v>
      </x:c>
      <x:c r="AE13" s="110" t="n">
        <x:f>'07_BS'!AE17</x:f>
        <x:v>74326.32053333333</x:v>
      </x:c>
      <x:c r="AF13" s="110" t="n">
        <x:f>'07_BS'!AF17</x:f>
        <x:v>73769.02745000001</x:v>
      </x:c>
      <x:c r="AG13" s="110" t="n">
        <x:f>'07_BS'!AG17</x:f>
        <x:v>73221.41904166667</x:v>
      </x:c>
      <x:c r="AH13" s="110" t="n">
        <x:f>'07_BS'!AH17</x:f>
        <x:v>72664.12595833334</x:v>
      </x:c>
      <x:c r="AI13" s="110" t="n">
        <x:f>'07_BS'!AI17</x:f>
        <x:v>73416.36692500001</x:v>
      </x:c>
      <x:c r="AJ13" s="110" t="n">
        <x:f>'07_BS'!AJ17</x:f>
        <x:v>75321.70791666667</x:v>
      </x:c>
      <x:c r="AK13" s="110" t="n">
        <x:f>'07_BS'!AK17</x:f>
        <x:v>76960.61268333334</x:v>
      </x:c>
      <x:c r="AL13" s="110" t="n">
        <x:f>'07_BS'!AL17</x:f>
        <x:v>76701.643725</x:v>
      </x:c>
      <x:c r="AM13" s="110" t="n">
        <x:f>'07_BS'!AM17</x:f>
        <x:v>76144.35064166666</x:v>
      </x:c>
      <x:c r="AN13" s="110" t="n">
        <x:f>'07_BS'!AN17</x:f>
        <x:v>75596.74223333334</x:v>
      </x:c>
      <x:c r="AO13" s="110" t="n">
        <x:f>'07_BS'!AO17</x:f>
        <x:v>75039.44915</x:v>
      </x:c>
      <x:c r="AP13" s="110" t="n">
        <x:f>'07_BS'!AP17</x:f>
        <x:v>75791.69011666666</x:v>
      </x:c>
      <x:c r="AQ13" s="110" t="n">
        <x:f>'07_BS'!AQ17</x:f>
        <x:v>76543.93108333334</x:v>
      </x:c>
      <x:c r="AR13" s="110" t="n">
        <x:f>'07_BS'!AR17</x:f>
        <x:v>75986.638</x:v>
      </x:c>
      <x:c r="AS13" s="110" t="n">
        <x:f>'07_BS'!AS17</x:f>
        <x:v>75439.02959166667</x:v>
      </x:c>
      <x:c r="AT13" s="110" t="n">
        <x:f>'07_BS'!AT17</x:f>
        <x:v>74881.73650833334</x:v>
      </x:c>
      <x:c r="AU13" s="110" t="n">
        <x:f>'07_BS'!AU17</x:f>
        <x:v>75633.977475</x:v>
      </x:c>
      <x:c r="AV13" s="110" t="n">
        <x:f>'07_BS'!AV17</x:f>
        <x:v>77539.31846666668</x:v>
      </x:c>
      <x:c r="AW13" s="110" t="n">
        <x:f>'07_BS'!AW17</x:f>
        <x:v>79178.22323333334</x:v>
      </x:c>
      <x:c r="AX13" s="110" t="n">
        <x:f>'07_BS'!AX17</x:f>
        <x:v>78919.254275</x:v>
      </x:c>
      <x:c r="AY13" s="110" t="n">
        <x:f>'07_BS'!AY17</x:f>
        <x:v>78361.96119166668</x:v>
      </x:c>
      <x:c r="AZ13" s="110" t="n">
        <x:f>'07_BS'!AZ17</x:f>
        <x:v>77814.35278333334</x:v>
      </x:c>
      <x:c r="BA13" s="110" t="n">
        <x:f>'07_BS'!BA17</x:f>
        <x:v>77257.0597</x:v>
      </x:c>
      <x:c r="BB13" s="110" t="n">
        <x:f>'07_BS'!BB17</x:f>
        <x:v>78009.30066666668</x:v>
      </x:c>
      <x:c r="BC13" s="110" t="n">
        <x:f>'07_BS'!BC17</x:f>
        <x:v>78761.54163333334</x:v>
      </x:c>
      <x:c r="BD13" s="110" t="n">
        <x:f>'07_BS'!BD17</x:f>
        <x:v>78204.24855</x:v>
      </x:c>
      <x:c r="BE13" s="110" t="n">
        <x:f>'07_BS'!BE17</x:f>
        <x:v>77656.64014166666</x:v>
      </x:c>
      <x:c r="BF13" s="110" t="n">
        <x:f>'07_BS'!BF17</x:f>
        <x:v>77099.34705833334</x:v>
      </x:c>
      <x:c r="BG13" s="110" t="n">
        <x:f>'07_BS'!BG17</x:f>
        <x:v>77851.588025</x:v>
      </x:c>
      <x:c r="BH13" s="110" t="n">
        <x:f>'07_BS'!BH17</x:f>
        <x:v>79756.92901666668</x:v>
      </x:c>
      <x:c r="BI13" s="110" t="n">
        <x:f>'07_BS'!BI17</x:f>
        <x:v>81395.83378333334</x:v>
      </x:c>
      <x:c r="BJ13" s="110" t="n">
        <x:f>'07_BS'!BJ17</x:f>
        <x:v>81136.864825</x:v>
      </x:c>
    </x:row>
    <x:row r="14">
      <x:c r="A14" t="str">
        <x:v>CF</x:v>
      </x:c>
      <x:c r="B14" t="str">
        <x:v>営業CF</x:v>
      </x:c>
      <x:c r="C14" s="110" t="n">
        <x:f>'08_CF'!C11</x:f>
        <x:v>1127.1401666666666</x:v>
      </x:c>
      <x:c r="D14" s="110" t="n">
        <x:f>'08_CF'!D11</x:f>
        <x:v>-60.12453736559121</x:v>
      </x:c>
      <x:c r="E14" s="110" t="n">
        <x:f>'08_CF'!E11</x:f>
        <x:v>-44.77695430107542</x:v>
      </x:c>
      <x:c r="F14" s="110" t="n">
        <x:f>'08_CF'!F11</x:f>
        <x:v>957.218587634409</x:v>
      </x:c>
      <x:c r="G14" s="110" t="n">
        <x:f>'08_CF'!G11</x:f>
        <x:v>1252.2409666666672</x:v>
      </x:c>
      <x:c r="H14" s="110" t="n">
        <x:f>'08_CF'!H11</x:f>
        <x:v>237.72929569892494</x:v>
      </x:c>
      <x:c r="I14" s="110" t="n">
        <x:f>'08_CF'!I11</x:f>
        <x:v>-60.12453736559121</x:v>
      </x:c>
      <x:c r="J14" s="110" t="n">
        <x:f>'08_CF'!J11</x:f>
        <x:v>-44.77695430107542</x:v>
      </x:c>
      <x:c r="K14" s="110" t="n">
        <x:f>'08_CF'!K11</x:f>
        <x:v>957.218587634409</x:v>
      </x:c>
      <x:c r="L14" s="110" t="n">
        <x:f>'08_CF'!L11</x:f>
        <x:v>2097.213241666666</x:v>
      </x:c>
      <x:c r="M14" s="110" t="n">
        <x:f>'08_CF'!M11</x:f>
        <x:v>2179.1351814132104</x:v>
      </x:c>
      <x:c r="N14" s="110" t="n">
        <x:f>'08_CF'!N11</x:f>
        <x:v>753.0451269201217</x:v>
      </x:c>
      <x:c r="O14" s="110" t="n">
        <x:f>'08_CF'!O11</x:f>
        <x:v>-6.38745430107474</x:v>
      </x:c>
      <x:c r="P14" s="110" t="n">
        <x:f>'08_CF'!P11</x:f>
        <x:v>-60.12453736559121</x:v>
      </x:c>
      <x:c r="Q14" s="110" t="n">
        <x:f>'08_CF'!Q11</x:f>
        <x:v>-44.77695430107542</x:v>
      </x:c>
      <x:c r="R14" s="110" t="n">
        <x:f>'08_CF'!R11</x:f>
        <x:v>957.218587634409</x:v>
      </x:c>
      <x:c r="S14" s="110" t="n">
        <x:f>'08_CF'!S11</x:f>
        <x:v>1252.2409666666672</x:v>
      </x:c>
      <x:c r="T14" s="110" t="n">
        <x:f>'08_CF'!T11</x:f>
        <x:v>237.72929569892494</x:v>
      </x:c>
      <x:c r="U14" s="110" t="n">
        <x:f>'08_CF'!U11</x:f>
        <x:v>-60.12453736559121</x:v>
      </x:c>
      <x:c r="V14" s="110" t="n">
        <x:f>'08_CF'!V11</x:f>
        <x:v>-44.77695430107542</x:v>
      </x:c>
      <x:c r="W14" s="110" t="n">
        <x:f>'08_CF'!W11</x:f>
        <x:v>957.218587634409</x:v>
      </x:c>
      <x:c r="X14" s="110" t="n">
        <x:f>'08_CF'!X11</x:f>
        <x:v>2097.213241666666</x:v>
      </x:c>
      <x:c r="Y14" s="110" t="n">
        <x:f>'08_CF'!Y11</x:f>
        <x:v>2253.612281043752</x:v>
      </x:c>
      <x:c r="Z14" s="110" t="n">
        <x:f>'08_CF'!Z11</x:f>
        <x:v>767.3801022895809</x:v>
      </x:c>
      <x:c r="AA14" s="110" t="n">
        <x:f>'08_CF'!AA11</x:f>
        <x:v>-6.38745430107474</x:v>
      </x:c>
      <x:c r="AB14" s="110" t="n">
        <x:f>'08_CF'!AB11</x:f>
        <x:v>-60.12453736559121</x:v>
      </x:c>
      <x:c r="AC14" s="110" t="n">
        <x:f>'08_CF'!AC11</x:f>
        <x:v>-44.77695430107542</x:v>
      </x:c>
      <x:c r="AD14" s="110" t="n">
        <x:f>'08_CF'!AD11</x:f>
        <x:v>957.218587634409</x:v>
      </x:c>
      <x:c r="AE14" s="110" t="n">
        <x:f>'08_CF'!AE11</x:f>
        <x:v>1252.2409666666672</x:v>
      </x:c>
      <x:c r="AF14" s="110" t="n">
        <x:f>'08_CF'!AF11</x:f>
        <x:v>237.72929569892494</x:v>
      </x:c>
      <x:c r="AG14" s="110" t="n">
        <x:f>'08_CF'!AG11</x:f>
        <x:v>-60.12453736559121</x:v>
      </x:c>
      <x:c r="AH14" s="110" t="n">
        <x:f>'08_CF'!AH11</x:f>
        <x:v>-44.77695430107542</x:v>
      </x:c>
      <x:c r="AI14" s="110" t="n">
        <x:f>'08_CF'!AI11</x:f>
        <x:v>957.218587634409</x:v>
      </x:c>
      <x:c r="AJ14" s="110" t="n">
        <x:f>'08_CF'!AJ11</x:f>
        <x:v>2097.213241666666</x:v>
      </x:c>
      <x:c r="AK14" s="110" t="n">
        <x:f>'08_CF'!AK11</x:f>
        <x:v>2179.1351814132104</x:v>
      </x:c>
      <x:c r="AL14" s="110" t="n">
        <x:f>'08_CF'!AL11</x:f>
        <x:v>753.0451269201217</x:v>
      </x:c>
      <x:c r="AM14" s="110" t="n">
        <x:f>'08_CF'!AM11</x:f>
        <x:v>-6.38745430107474</x:v>
      </x:c>
      <x:c r="AN14" s="110" t="n">
        <x:f>'08_CF'!AN11</x:f>
        <x:v>-60.12453736559121</x:v>
      </x:c>
      <x:c r="AO14" s="110" t="n">
        <x:f>'08_CF'!AO11</x:f>
        <x:v>-44.77695430107542</x:v>
      </x:c>
      <x:c r="AP14" s="110" t="n">
        <x:f>'08_CF'!AP11</x:f>
        <x:v>957.218587634409</x:v>
      </x:c>
      <x:c r="AQ14" s="110" t="n">
        <x:f>'08_CF'!AQ11</x:f>
        <x:v>1252.2409666666672</x:v>
      </x:c>
      <x:c r="AR14" s="110" t="n">
        <x:f>'08_CF'!AR11</x:f>
        <x:v>237.72929569892494</x:v>
      </x:c>
      <x:c r="AS14" s="110" t="n">
        <x:f>'08_CF'!AS11</x:f>
        <x:v>-60.12453736559121</x:v>
      </x:c>
      <x:c r="AT14" s="110" t="n">
        <x:f>'08_CF'!AT11</x:f>
        <x:v>-44.77695430107542</x:v>
      </x:c>
      <x:c r="AU14" s="110" t="n">
        <x:f>'08_CF'!AU11</x:f>
        <x:v>957.218587634409</x:v>
      </x:c>
      <x:c r="AV14" s="110" t="n">
        <x:f>'08_CF'!AV11</x:f>
        <x:v>2097.213241666666</x:v>
      </x:c>
      <x:c r="AW14" s="110" t="n">
        <x:f>'08_CF'!AW11</x:f>
        <x:v>2179.1351814132104</x:v>
      </x:c>
      <x:c r="AX14" s="110" t="n">
        <x:f>'08_CF'!AX11</x:f>
        <x:v>753.0451269201217</x:v>
      </x:c>
      <x:c r="AY14" s="110" t="n">
        <x:f>'08_CF'!AY11</x:f>
        <x:v>-6.38745430107474</x:v>
      </x:c>
      <x:c r="AZ14" s="110" t="n">
        <x:f>'08_CF'!AZ11</x:f>
        <x:v>-60.12453736559121</x:v>
      </x:c>
      <x:c r="BA14" s="110" t="n">
        <x:f>'08_CF'!BA11</x:f>
        <x:v>-44.77695430107542</x:v>
      </x:c>
      <x:c r="BB14" s="110" t="n">
        <x:f>'08_CF'!BB11</x:f>
        <x:v>957.218587634409</x:v>
      </x:c>
      <x:c r="BC14" s="110" t="n">
        <x:f>'08_CF'!BC11</x:f>
        <x:v>1252.2409666666672</x:v>
      </x:c>
      <x:c r="BD14" s="110" t="n">
        <x:f>'08_CF'!BD11</x:f>
        <x:v>237.72929569892494</x:v>
      </x:c>
      <x:c r="BE14" s="110" t="n">
        <x:f>'08_CF'!BE11</x:f>
        <x:v>-60.12453736559121</x:v>
      </x:c>
      <x:c r="BF14" s="110" t="n">
        <x:f>'08_CF'!BF11</x:f>
        <x:v>-44.77695430107542</x:v>
      </x:c>
      <x:c r="BG14" s="110" t="n">
        <x:f>'08_CF'!BG11</x:f>
        <x:v>957.218587634409</x:v>
      </x:c>
      <x:c r="BH14" s="110" t="n">
        <x:f>'08_CF'!BH11</x:f>
        <x:v>2097.213241666666</x:v>
      </x:c>
      <x:c r="BI14" s="110" t="n">
        <x:f>'08_CF'!BI11</x:f>
        <x:v>2179.1351814132104</x:v>
      </x:c>
      <x:c r="BJ14" s="110" t="n">
        <x:f>'08_CF'!BJ11</x:f>
        <x:v>753.0451269201217</x:v>
      </x:c>
    </x:row>
    <x:row r="15">
      <x:c r="A15" t="str">
        <x:v>CF</x:v>
      </x:c>
      <x:c r="B15" t="str">
        <x:v>投資CF</x:v>
      </x:c>
      <x:c r="C15" s="110" t="n">
        <x:f>'08_CF'!C13</x:f>
        <x:v>0</x:v>
      </x:c>
      <x:c r="D15" s="110" t="n">
        <x:f>'08_CF'!D13</x:f>
        <x:v>0</x:v>
      </x:c>
      <x:c r="E15" s="110" t="n">
        <x:f>'08_CF'!E13</x:f>
        <x:v>0</x:v>
      </x:c>
      <x:c r="F15" s="110" t="n">
        <x:f>'08_CF'!F13</x:f>
        <x:v>0</x:v>
      </x:c>
      <x:c r="G15" s="110" t="n">
        <x:f>'08_CF'!G13</x:f>
        <x:v>0</x:v>
      </x:c>
      <x:c r="H15" s="110" t="n">
        <x:f>'08_CF'!H13</x:f>
        <x:v>0</x:v>
      </x:c>
      <x:c r="I15" s="110" t="n">
        <x:f>'08_CF'!I13</x:f>
        <x:v>0</x:v>
      </x:c>
      <x:c r="J15" s="110" t="n">
        <x:f>'08_CF'!J13</x:f>
        <x:v>0</x:v>
      </x:c>
      <x:c r="K15" s="110" t="n">
        <x:f>'08_CF'!K13</x:f>
        <x:v>0</x:v>
      </x:c>
      <x:c r="L15" s="110" t="n">
        <x:f>'08_CF'!L13</x:f>
        <x:v>0</x:v>
      </x:c>
      <x:c r="M15" s="110" t="n">
        <x:f>'08_CF'!M13</x:f>
        <x:v>0</x:v>
      </x:c>
      <x:c r="N15" s="110" t="n">
        <x:f>'08_CF'!N13</x:f>
        <x:v>0</x:v>
      </x:c>
      <x:c r="O15" s="110" t="n">
        <x:f>'08_CF'!O13</x:f>
        <x:v>0</x:v>
      </x:c>
      <x:c r="P15" s="110" t="n">
        <x:f>'08_CF'!P13</x:f>
        <x:v>0</x:v>
      </x:c>
      <x:c r="Q15" s="110" t="n">
        <x:f>'08_CF'!Q13</x:f>
        <x:v>0</x:v>
      </x:c>
      <x:c r="R15" s="110" t="n">
        <x:f>'08_CF'!R13</x:f>
        <x:v>0</x:v>
      </x:c>
      <x:c r="S15" s="110" t="n">
        <x:f>'08_CF'!S13</x:f>
        <x:v>0</x:v>
      </x:c>
      <x:c r="T15" s="110" t="n">
        <x:f>'08_CF'!T13</x:f>
        <x:v>0</x:v>
      </x:c>
      <x:c r="U15" s="110" t="n">
        <x:f>'08_CF'!U13</x:f>
        <x:v>0</x:v>
      </x:c>
      <x:c r="V15" s="110" t="n">
        <x:f>'08_CF'!V13</x:f>
        <x:v>0</x:v>
      </x:c>
      <x:c r="W15" s="110" t="n">
        <x:f>'08_CF'!W13</x:f>
        <x:v>0</x:v>
      </x:c>
      <x:c r="X15" s="110" t="n">
        <x:f>'08_CF'!X13</x:f>
        <x:v>0</x:v>
      </x:c>
      <x:c r="Y15" s="110" t="n">
        <x:f>'08_CF'!Y13</x:f>
        <x:v>0</x:v>
      </x:c>
      <x:c r="Z15" s="110" t="n">
        <x:f>'08_CF'!Z13</x:f>
        <x:v>0</x:v>
      </x:c>
      <x:c r="AA15" s="110" t="n">
        <x:f>'08_CF'!AA13</x:f>
        <x:v>0</x:v>
      </x:c>
      <x:c r="AB15" s="110" t="n">
        <x:f>'08_CF'!AB13</x:f>
        <x:v>0</x:v>
      </x:c>
      <x:c r="AC15" s="110" t="n">
        <x:f>'08_CF'!AC13</x:f>
        <x:v>0</x:v>
      </x:c>
      <x:c r="AD15" s="110" t="n">
        <x:f>'08_CF'!AD13</x:f>
        <x:v>0</x:v>
      </x:c>
      <x:c r="AE15" s="110" t="n">
        <x:f>'08_CF'!AE13</x:f>
        <x:v>0</x:v>
      </x:c>
      <x:c r="AF15" s="110" t="n">
        <x:f>'08_CF'!AF13</x:f>
        <x:v>0</x:v>
      </x:c>
      <x:c r="AG15" s="110" t="n">
        <x:f>'08_CF'!AG13</x:f>
        <x:v>0</x:v>
      </x:c>
      <x:c r="AH15" s="110" t="n">
        <x:f>'08_CF'!AH13</x:f>
        <x:v>0</x:v>
      </x:c>
      <x:c r="AI15" s="110" t="n">
        <x:f>'08_CF'!AI13</x:f>
        <x:v>0</x:v>
      </x:c>
      <x:c r="AJ15" s="110" t="n">
        <x:f>'08_CF'!AJ13</x:f>
        <x:v>0</x:v>
      </x:c>
      <x:c r="AK15" s="110" t="n">
        <x:f>'08_CF'!AK13</x:f>
        <x:v>0</x:v>
      </x:c>
      <x:c r="AL15" s="110" t="n">
        <x:f>'08_CF'!AL13</x:f>
        <x:v>0</x:v>
      </x:c>
      <x:c r="AM15" s="110" t="n">
        <x:f>'08_CF'!AM13</x:f>
        <x:v>0</x:v>
      </x:c>
      <x:c r="AN15" s="110" t="n">
        <x:f>'08_CF'!AN13</x:f>
        <x:v>0</x:v>
      </x:c>
      <x:c r="AO15" s="110" t="n">
        <x:f>'08_CF'!AO13</x:f>
        <x:v>0</x:v>
      </x:c>
      <x:c r="AP15" s="110" t="n">
        <x:f>'08_CF'!AP13</x:f>
        <x:v>0</x:v>
      </x:c>
      <x:c r="AQ15" s="110" t="n">
        <x:f>'08_CF'!AQ13</x:f>
        <x:v>0</x:v>
      </x:c>
      <x:c r="AR15" s="110" t="n">
        <x:f>'08_CF'!AR13</x:f>
        <x:v>0</x:v>
      </x:c>
      <x:c r="AS15" s="110" t="n">
        <x:f>'08_CF'!AS13</x:f>
        <x:v>0</x:v>
      </x:c>
      <x:c r="AT15" s="110" t="n">
        <x:f>'08_CF'!AT13</x:f>
        <x:v>0</x:v>
      </x:c>
      <x:c r="AU15" s="110" t="n">
        <x:f>'08_CF'!AU13</x:f>
        <x:v>0</x:v>
      </x:c>
      <x:c r="AV15" s="110" t="n">
        <x:f>'08_CF'!AV13</x:f>
        <x:v>0</x:v>
      </x:c>
      <x:c r="AW15" s="110" t="n">
        <x:f>'08_CF'!AW13</x:f>
        <x:v>0</x:v>
      </x:c>
      <x:c r="AX15" s="110" t="n">
        <x:f>'08_CF'!AX13</x:f>
        <x:v>0</x:v>
      </x:c>
      <x:c r="AY15" s="110" t="n">
        <x:f>'08_CF'!AY13</x:f>
        <x:v>0</x:v>
      </x:c>
      <x:c r="AZ15" s="110" t="n">
        <x:f>'08_CF'!AZ13</x:f>
        <x:v>0</x:v>
      </x:c>
      <x:c r="BA15" s="110" t="n">
        <x:f>'08_CF'!BA13</x:f>
        <x:v>0</x:v>
      </x:c>
      <x:c r="BB15" s="110" t="n">
        <x:f>'08_CF'!BB13</x:f>
        <x:v>0</x:v>
      </x:c>
      <x:c r="BC15" s="110" t="n">
        <x:f>'08_CF'!BC13</x:f>
        <x:v>0</x:v>
      </x:c>
      <x:c r="BD15" s="110" t="n">
        <x:f>'08_CF'!BD13</x:f>
        <x:v>0</x:v>
      </x:c>
      <x:c r="BE15" s="110" t="n">
        <x:f>'08_CF'!BE13</x:f>
        <x:v>0</x:v>
      </x:c>
      <x:c r="BF15" s="110" t="n">
        <x:f>'08_CF'!BF13</x:f>
        <x:v>0</x:v>
      </x:c>
      <x:c r="BG15" s="110" t="n">
        <x:f>'08_CF'!BG13</x:f>
        <x:v>0</x:v>
      </x:c>
      <x:c r="BH15" s="110" t="n">
        <x:f>'08_CF'!BH13</x:f>
        <x:v>0</x:v>
      </x:c>
      <x:c r="BI15" s="110" t="n">
        <x:f>'08_CF'!BI13</x:f>
        <x:v>0</x:v>
      </x:c>
      <x:c r="BJ15" s="110" t="n">
        <x:f>'08_CF'!BJ13</x:f>
        <x:v>0</x:v>
      </x:c>
    </x:row>
    <x:row r="16">
      <x:c r="A16" t="str">
        <x:v>CF</x:v>
      </x:c>
      <x:c r="B16" t="str">
        <x:v>財務CF</x:v>
      </x:c>
      <x:c r="C16" s="110" t="n">
        <x:f>'08_CF'!C18</x:f>
        <x:v>0</x:v>
      </x:c>
      <x:c r="D16" s="110" t="n">
        <x:f>'08_CF'!D18</x:f>
        <x:v>0</x:v>
      </x:c>
      <x:c r="E16" s="110" t="n">
        <x:f>'08_CF'!E18</x:f>
        <x:v>0</x:v>
      </x:c>
      <x:c r="F16" s="110" t="n">
        <x:f>'08_CF'!F18</x:f>
        <x:v>0</x:v>
      </x:c>
      <x:c r="G16" s="110" t="n">
        <x:f>'08_CF'!G18</x:f>
        <x:v>0</x:v>
      </x:c>
      <x:c r="H16" s="110" t="n">
        <x:f>'08_CF'!H18</x:f>
        <x:v>0</x:v>
      </x:c>
      <x:c r="I16" s="110" t="n">
        <x:f>'08_CF'!I18</x:f>
        <x:v>0</x:v>
      </x:c>
      <x:c r="J16" s="110" t="n">
        <x:f>'08_CF'!J18</x:f>
        <x:v>0</x:v>
      </x:c>
      <x:c r="K16" s="110" t="n">
        <x:f>'08_CF'!K18</x:f>
        <x:v>0</x:v>
      </x:c>
      <x:c r="L16" s="110" t="n">
        <x:f>'08_CF'!L18</x:f>
        <x:v>0</x:v>
      </x:c>
      <x:c r="M16" s="110" t="n">
        <x:f>'08_CF'!M18</x:f>
        <x:v>0</x:v>
      </x:c>
      <x:c r="N16" s="110" t="n">
        <x:f>'08_CF'!N18</x:f>
        <x:v>0</x:v>
      </x:c>
      <x:c r="O16" s="110" t="n">
        <x:f>'08_CF'!O18</x:f>
        <x:v>0</x:v>
      </x:c>
      <x:c r="P16" s="110" t="n">
        <x:f>'08_CF'!P18</x:f>
        <x:v>0</x:v>
      </x:c>
      <x:c r="Q16" s="110" t="n">
        <x:f>'08_CF'!Q18</x:f>
        <x:v>0</x:v>
      </x:c>
      <x:c r="R16" s="110" t="n">
        <x:f>'08_CF'!R18</x:f>
        <x:v>0</x:v>
      </x:c>
      <x:c r="S16" s="110" t="n">
        <x:f>'08_CF'!S18</x:f>
        <x:v>0</x:v>
      </x:c>
      <x:c r="T16" s="110" t="n">
        <x:f>'08_CF'!T18</x:f>
        <x:v>0</x:v>
      </x:c>
      <x:c r="U16" s="110" t="n">
        <x:f>'08_CF'!U18</x:f>
        <x:v>0</x:v>
      </x:c>
      <x:c r="V16" s="110" t="n">
        <x:f>'08_CF'!V18</x:f>
        <x:v>0</x:v>
      </x:c>
      <x:c r="W16" s="110" t="n">
        <x:f>'08_CF'!W18</x:f>
        <x:v>0</x:v>
      </x:c>
      <x:c r="X16" s="110" t="n">
        <x:f>'08_CF'!X18</x:f>
        <x:v>0</x:v>
      </x:c>
      <x:c r="Y16" s="110" t="n">
        <x:f>'08_CF'!Y18</x:f>
        <x:v>0</x:v>
      </x:c>
      <x:c r="Z16" s="110" t="n">
        <x:f>'08_CF'!Z18</x:f>
        <x:v>0</x:v>
      </x:c>
      <x:c r="AA16" s="110" t="n">
        <x:f>'08_CF'!AA18</x:f>
        <x:v>0</x:v>
      </x:c>
      <x:c r="AB16" s="110" t="n">
        <x:f>'08_CF'!AB18</x:f>
        <x:v>0</x:v>
      </x:c>
      <x:c r="AC16" s="110" t="n">
        <x:f>'08_CF'!AC18</x:f>
        <x:v>0</x:v>
      </x:c>
      <x:c r="AD16" s="110" t="n">
        <x:f>'08_CF'!AD18</x:f>
        <x:v>0</x:v>
      </x:c>
      <x:c r="AE16" s="110" t="n">
        <x:f>'08_CF'!AE18</x:f>
        <x:v>0</x:v>
      </x:c>
      <x:c r="AF16" s="110" t="n">
        <x:f>'08_CF'!AF18</x:f>
        <x:v>0</x:v>
      </x:c>
      <x:c r="AG16" s="110" t="n">
        <x:f>'08_CF'!AG18</x:f>
        <x:v>0</x:v>
      </x:c>
      <x:c r="AH16" s="110" t="n">
        <x:f>'08_CF'!AH18</x:f>
        <x:v>0</x:v>
      </x:c>
      <x:c r="AI16" s="110" t="n">
        <x:f>'08_CF'!AI18</x:f>
        <x:v>0</x:v>
      </x:c>
      <x:c r="AJ16" s="110" t="n">
        <x:f>'08_CF'!AJ18</x:f>
        <x:v>0</x:v>
      </x:c>
      <x:c r="AK16" s="110" t="n">
        <x:f>'08_CF'!AK18</x:f>
        <x:v>0</x:v>
      </x:c>
      <x:c r="AL16" s="110" t="n">
        <x:f>'08_CF'!AL18</x:f>
        <x:v>0</x:v>
      </x:c>
      <x:c r="AM16" s="110" t="n">
        <x:f>'08_CF'!AM18</x:f>
        <x:v>0</x:v>
      </x:c>
      <x:c r="AN16" s="110" t="n">
        <x:f>'08_CF'!AN18</x:f>
        <x:v>0</x:v>
      </x:c>
      <x:c r="AO16" s="110" t="n">
        <x:f>'08_CF'!AO18</x:f>
        <x:v>0</x:v>
      </x:c>
      <x:c r="AP16" s="110" t="n">
        <x:f>'08_CF'!AP18</x:f>
        <x:v>0</x:v>
      </x:c>
      <x:c r="AQ16" s="110" t="n">
        <x:f>'08_CF'!AQ18</x:f>
        <x:v>0</x:v>
      </x:c>
      <x:c r="AR16" s="110" t="n">
        <x:f>'08_CF'!AR18</x:f>
        <x:v>0</x:v>
      </x:c>
      <x:c r="AS16" s="110" t="n">
        <x:f>'08_CF'!AS18</x:f>
        <x:v>0</x:v>
      </x:c>
      <x:c r="AT16" s="110" t="n">
        <x:f>'08_CF'!AT18</x:f>
        <x:v>0</x:v>
      </x:c>
      <x:c r="AU16" s="110" t="n">
        <x:f>'08_CF'!AU18</x:f>
        <x:v>0</x:v>
      </x:c>
      <x:c r="AV16" s="110" t="n">
        <x:f>'08_CF'!AV18</x:f>
        <x:v>0</x:v>
      </x:c>
      <x:c r="AW16" s="110" t="n">
        <x:f>'08_CF'!AW18</x:f>
        <x:v>0</x:v>
      </x:c>
      <x:c r="AX16" s="110" t="n">
        <x:f>'08_CF'!AX18</x:f>
        <x:v>0</x:v>
      </x:c>
      <x:c r="AY16" s="110" t="n">
        <x:f>'08_CF'!AY18</x:f>
        <x:v>0</x:v>
      </x:c>
      <x:c r="AZ16" s="110" t="n">
        <x:f>'08_CF'!AZ18</x:f>
        <x:v>0</x:v>
      </x:c>
      <x:c r="BA16" s="110" t="n">
        <x:f>'08_CF'!BA18</x:f>
        <x:v>0</x:v>
      </x:c>
      <x:c r="BB16" s="110" t="n">
        <x:f>'08_CF'!BB18</x:f>
        <x:v>0</x:v>
      </x:c>
      <x:c r="BC16" s="110" t="n">
        <x:f>'08_CF'!BC18</x:f>
        <x:v>0</x:v>
      </x:c>
      <x:c r="BD16" s="110" t="n">
        <x:f>'08_CF'!BD18</x:f>
        <x:v>0</x:v>
      </x:c>
      <x:c r="BE16" s="110" t="n">
        <x:f>'08_CF'!BE18</x:f>
        <x:v>0</x:v>
      </x:c>
      <x:c r="BF16" s="110" t="n">
        <x:f>'08_CF'!BF18</x:f>
        <x:v>0</x:v>
      </x:c>
      <x:c r="BG16" s="110" t="n">
        <x:f>'08_CF'!BG18</x:f>
        <x:v>0</x:v>
      </x:c>
      <x:c r="BH16" s="110" t="n">
        <x:f>'08_CF'!BH18</x:f>
        <x:v>0</x:v>
      </x:c>
      <x:c r="BI16" s="110" t="n">
        <x:f>'08_CF'!BI18</x:f>
        <x:v>0</x:v>
      </x:c>
      <x:c r="BJ16" s="110" t="n">
        <x:f>'08_CF'!BJ18</x:f>
        <x:v>0</x:v>
      </x:c>
    </x:row>
    <x:row r="17">
      <x:c r="A17" t="str">
        <x:v>KPI</x:v>
      </x:c>
      <x:c r="B17" t="str">
        <x:v>稼働率</x:v>
      </x:c>
      <x:c r="C17" s="112" t="n">
        <x:f>'10_KPI'!C9</x:f>
        <x:v>0.38</x:v>
      </x:c>
      <x:c r="D17" s="112" t="n">
        <x:f>'10_KPI'!D9</x:f>
        <x:v>0.38</x:v>
      </x:c>
      <x:c r="E17" s="112" t="n">
        <x:f>'10_KPI'!E9</x:f>
        <x:v>0.38</x:v>
      </x:c>
      <x:c r="F17" s="112" t="n">
        <x:f>'10_KPI'!F9</x:f>
        <x:v>0.68</x:v>
      </x:c>
      <x:c r="G17" s="112" t="n">
        <x:f>'10_KPI'!G9</x:f>
        <x:v>0.68</x:v>
      </x:c>
      <x:c r="H17" s="112" t="n">
        <x:f>'10_KPI'!H9</x:f>
        <x:v>0.38</x:v>
      </x:c>
      <x:c r="I17" s="112" t="n">
        <x:f>'10_KPI'!I9</x:f>
        <x:v>0.38</x:v>
      </x:c>
      <x:c r="J17" s="112" t="n">
        <x:f>'10_KPI'!J9</x:f>
        <x:v>0.38</x:v>
      </x:c>
      <x:c r="K17" s="112" t="n">
        <x:f>'10_KPI'!K9</x:f>
        <x:v>0.68</x:v>
      </x:c>
      <x:c r="L17" s="112" t="n">
        <x:f>'10_KPI'!L9</x:f>
        <x:v>0.82</x:v>
      </x:c>
      <x:c r="M17" s="112" t="n">
        <x:f>'10_KPI'!M9</x:f>
        <x:v>0.82</x:v>
      </x:c>
      <x:c r="N17" s="112" t="n">
        <x:f>'10_KPI'!N9</x:f>
        <x:v>0.5</x:v>
      </x:c>
      <x:c r="O17" s="112" t="n">
        <x:f>'10_KPI'!O9</x:f>
        <x:v>0.38</x:v>
      </x:c>
      <x:c r="P17" s="112" t="n">
        <x:f>'10_KPI'!P9</x:f>
        <x:v>0.38</x:v>
      </x:c>
      <x:c r="Q17" s="112" t="n">
        <x:f>'10_KPI'!Q9</x:f>
        <x:v>0.38</x:v>
      </x:c>
      <x:c r="R17" s="112" t="n">
        <x:f>'10_KPI'!R9</x:f>
        <x:v>0.68</x:v>
      </x:c>
      <x:c r="S17" s="112" t="n">
        <x:f>'10_KPI'!S9</x:f>
        <x:v>0.68</x:v>
      </x:c>
      <x:c r="T17" s="112" t="n">
        <x:f>'10_KPI'!T9</x:f>
        <x:v>0.38</x:v>
      </x:c>
      <x:c r="U17" s="112" t="n">
        <x:f>'10_KPI'!U9</x:f>
        <x:v>0.38</x:v>
      </x:c>
      <x:c r="V17" s="112" t="n">
        <x:f>'10_KPI'!V9</x:f>
        <x:v>0.38</x:v>
      </x:c>
      <x:c r="W17" s="112" t="n">
        <x:f>'10_KPI'!W9</x:f>
        <x:v>0.68</x:v>
      </x:c>
      <x:c r="X17" s="112" t="n">
        <x:f>'10_KPI'!X9</x:f>
        <x:v>0.82</x:v>
      </x:c>
      <x:c r="Y17" s="112" t="n">
        <x:f>'10_KPI'!Y9</x:f>
        <x:v>0.82</x:v>
      </x:c>
      <x:c r="Z17" s="112" t="n">
        <x:f>'10_KPI'!Z9</x:f>
        <x:v>0.5</x:v>
      </x:c>
      <x:c r="AA17" s="112" t="n">
        <x:f>'10_KPI'!AA9</x:f>
        <x:v>0.38</x:v>
      </x:c>
      <x:c r="AB17" s="112" t="n">
        <x:f>'10_KPI'!AB9</x:f>
        <x:v>0.38</x:v>
      </x:c>
      <x:c r="AC17" s="112" t="n">
        <x:f>'10_KPI'!AC9</x:f>
        <x:v>0.38</x:v>
      </x:c>
      <x:c r="AD17" s="112" t="n">
        <x:f>'10_KPI'!AD9</x:f>
        <x:v>0.68</x:v>
      </x:c>
      <x:c r="AE17" s="112" t="n">
        <x:f>'10_KPI'!AE9</x:f>
        <x:v>0.68</x:v>
      </x:c>
      <x:c r="AF17" s="112" t="n">
        <x:f>'10_KPI'!AF9</x:f>
        <x:v>0.38</x:v>
      </x:c>
      <x:c r="AG17" s="112" t="n">
        <x:f>'10_KPI'!AG9</x:f>
        <x:v>0.38</x:v>
      </x:c>
      <x:c r="AH17" s="112" t="n">
        <x:f>'10_KPI'!AH9</x:f>
        <x:v>0.38</x:v>
      </x:c>
      <x:c r="AI17" s="112" t="n">
        <x:f>'10_KPI'!AI9</x:f>
        <x:v>0.68</x:v>
      </x:c>
      <x:c r="AJ17" s="112" t="n">
        <x:f>'10_KPI'!AJ9</x:f>
        <x:v>0.82</x:v>
      </x:c>
      <x:c r="AK17" s="112" t="n">
        <x:f>'10_KPI'!AK9</x:f>
        <x:v>0.82</x:v>
      </x:c>
      <x:c r="AL17" s="112" t="n">
        <x:f>'10_KPI'!AL9</x:f>
        <x:v>0.5</x:v>
      </x:c>
      <x:c r="AM17" s="112" t="n">
        <x:f>'10_KPI'!AM9</x:f>
        <x:v>0.38</x:v>
      </x:c>
      <x:c r="AN17" s="112" t="n">
        <x:f>'10_KPI'!AN9</x:f>
        <x:v>0.38</x:v>
      </x:c>
      <x:c r="AO17" s="112" t="n">
        <x:f>'10_KPI'!AO9</x:f>
        <x:v>0.38</x:v>
      </x:c>
      <x:c r="AP17" s="112" t="n">
        <x:f>'10_KPI'!AP9</x:f>
        <x:v>0.68</x:v>
      </x:c>
      <x:c r="AQ17" s="112" t="n">
        <x:f>'10_KPI'!AQ9</x:f>
        <x:v>0.68</x:v>
      </x:c>
      <x:c r="AR17" s="112" t="n">
        <x:f>'10_KPI'!AR9</x:f>
        <x:v>0.38</x:v>
      </x:c>
      <x:c r="AS17" s="112" t="n">
        <x:f>'10_KPI'!AS9</x:f>
        <x:v>0.38</x:v>
      </x:c>
      <x:c r="AT17" s="112" t="n">
        <x:f>'10_KPI'!AT9</x:f>
        <x:v>0.38</x:v>
      </x:c>
      <x:c r="AU17" s="112" t="n">
        <x:f>'10_KPI'!AU9</x:f>
        <x:v>0.68</x:v>
      </x:c>
      <x:c r="AV17" s="112" t="n">
        <x:f>'10_KPI'!AV9</x:f>
        <x:v>0.82</x:v>
      </x:c>
      <x:c r="AW17" s="112" t="n">
        <x:f>'10_KPI'!AW9</x:f>
        <x:v>0.82</x:v>
      </x:c>
      <x:c r="AX17" s="112" t="n">
        <x:f>'10_KPI'!AX9</x:f>
        <x:v>0.5</x:v>
      </x:c>
      <x:c r="AY17" s="112" t="n">
        <x:f>'10_KPI'!AY9</x:f>
        <x:v>0.38</x:v>
      </x:c>
      <x:c r="AZ17" s="112" t="n">
        <x:f>'10_KPI'!AZ9</x:f>
        <x:v>0.38</x:v>
      </x:c>
      <x:c r="BA17" s="112" t="n">
        <x:f>'10_KPI'!BA9</x:f>
        <x:v>0.38</x:v>
      </x:c>
      <x:c r="BB17" s="112" t="n">
        <x:f>'10_KPI'!BB9</x:f>
        <x:v>0.68</x:v>
      </x:c>
      <x:c r="BC17" s="112" t="n">
        <x:f>'10_KPI'!BC9</x:f>
        <x:v>0.68</x:v>
      </x:c>
      <x:c r="BD17" s="112" t="n">
        <x:f>'10_KPI'!BD9</x:f>
        <x:v>0.38</x:v>
      </x:c>
      <x:c r="BE17" s="112" t="n">
        <x:f>'10_KPI'!BE9</x:f>
        <x:v>0.38</x:v>
      </x:c>
      <x:c r="BF17" s="112" t="n">
        <x:f>'10_KPI'!BF9</x:f>
        <x:v>0.38</x:v>
      </x:c>
      <x:c r="BG17" s="112" t="n">
        <x:f>'10_KPI'!BG9</x:f>
        <x:v>0.68</x:v>
      </x:c>
      <x:c r="BH17" s="112" t="n">
        <x:f>'10_KPI'!BH9</x:f>
        <x:v>0.82</x:v>
      </x:c>
      <x:c r="BI17" s="112" t="n">
        <x:f>'10_KPI'!BI9</x:f>
        <x:v>0.82</x:v>
      </x:c>
      <x:c r="BJ17" s="112" t="n">
        <x:f>'10_KPI'!BJ9</x:f>
        <x:v>0.5</x:v>
      </x:c>
    </x:row>
    <x:row r="18">
      <x:c r="A18" t="str">
        <x:v>KPI</x:v>
      </x:c>
      <x:c r="B18" t="str">
        <x:v>ADR</x:v>
      </x:c>
      <x:c r="C18" s="110" t="n">
        <x:f>'10_KPI'!C10</x:f>
        <x:v>11500</x:v>
      </x:c>
      <x:c r="D18" s="110" t="n">
        <x:f>'10_KPI'!D10</x:f>
        <x:v>11500</x:v>
      </x:c>
      <x:c r="E18" s="110" t="n">
        <x:f>'10_KPI'!E10</x:f>
        <x:v>11500</x:v>
      </x:c>
      <x:c r="F18" s="110" t="n">
        <x:f>'10_KPI'!F10</x:f>
        <x:v>15000</x:v>
      </x:c>
      <x:c r="G18" s="110" t="n">
        <x:f>'10_KPI'!G10</x:f>
        <x:v>15000</x:v>
      </x:c>
      <x:c r="H18" s="110" t="n">
        <x:f>'10_KPI'!H10</x:f>
        <x:v>11500</x:v>
      </x:c>
      <x:c r="I18" s="110" t="n">
        <x:f>'10_KPI'!I10</x:f>
        <x:v>11500</x:v>
      </x:c>
      <x:c r="J18" s="110" t="n">
        <x:f>'10_KPI'!J10</x:f>
        <x:v>11500</x:v>
      </x:c>
      <x:c r="K18" s="110" t="n">
        <x:f>'10_KPI'!K10</x:f>
        <x:v>15000</x:v>
      </x:c>
      <x:c r="L18" s="110" t="n">
        <x:f>'10_KPI'!L10</x:f>
        <x:v>18500</x:v>
      </x:c>
      <x:c r="M18" s="110" t="n">
        <x:f>'10_KPI'!M10</x:f>
        <x:v>18500</x:v>
      </x:c>
      <x:c r="N18" s="110" t="n">
        <x:f>'10_KPI'!N10</x:f>
        <x:v>11500</x:v>
      </x:c>
      <x:c r="O18" s="110" t="n">
        <x:f>'10_KPI'!O10</x:f>
        <x:v>11500</x:v>
      </x:c>
      <x:c r="P18" s="110" t="n">
        <x:f>'10_KPI'!P10</x:f>
        <x:v>11500</x:v>
      </x:c>
      <x:c r="Q18" s="110" t="n">
        <x:f>'10_KPI'!Q10</x:f>
        <x:v>11500</x:v>
      </x:c>
      <x:c r="R18" s="110" t="n">
        <x:f>'10_KPI'!R10</x:f>
        <x:v>15000</x:v>
      </x:c>
      <x:c r="S18" s="110" t="n">
        <x:f>'10_KPI'!S10</x:f>
        <x:v>15000</x:v>
      </x:c>
      <x:c r="T18" s="110" t="n">
        <x:f>'10_KPI'!T10</x:f>
        <x:v>11500</x:v>
      </x:c>
      <x:c r="U18" s="110" t="n">
        <x:f>'10_KPI'!U10</x:f>
        <x:v>11500</x:v>
      </x:c>
      <x:c r="V18" s="110" t="n">
        <x:f>'10_KPI'!V10</x:f>
        <x:v>11500</x:v>
      </x:c>
      <x:c r="W18" s="110" t="n">
        <x:f>'10_KPI'!W10</x:f>
        <x:v>15000</x:v>
      </x:c>
      <x:c r="X18" s="110" t="n">
        <x:f>'10_KPI'!X10</x:f>
        <x:v>18500</x:v>
      </x:c>
      <x:c r="Y18" s="110" t="n">
        <x:f>'10_KPI'!Y10</x:f>
        <x:v>18500</x:v>
      </x:c>
      <x:c r="Z18" s="110" t="n">
        <x:f>'10_KPI'!Z10</x:f>
        <x:v>11500</x:v>
      </x:c>
      <x:c r="AA18" s="110" t="n">
        <x:f>'10_KPI'!AA10</x:f>
        <x:v>11500</x:v>
      </x:c>
      <x:c r="AB18" s="110" t="n">
        <x:f>'10_KPI'!AB10</x:f>
        <x:v>11500</x:v>
      </x:c>
      <x:c r="AC18" s="110" t="n">
        <x:f>'10_KPI'!AC10</x:f>
        <x:v>11500</x:v>
      </x:c>
      <x:c r="AD18" s="110" t="n">
        <x:f>'10_KPI'!AD10</x:f>
        <x:v>15000</x:v>
      </x:c>
      <x:c r="AE18" s="110" t="n">
        <x:f>'10_KPI'!AE10</x:f>
        <x:v>15000</x:v>
      </x:c>
      <x:c r="AF18" s="110" t="n">
        <x:f>'10_KPI'!AF10</x:f>
        <x:v>11500</x:v>
      </x:c>
      <x:c r="AG18" s="110" t="n">
        <x:f>'10_KPI'!AG10</x:f>
        <x:v>11500</x:v>
      </x:c>
      <x:c r="AH18" s="110" t="n">
        <x:f>'10_KPI'!AH10</x:f>
        <x:v>11500</x:v>
      </x:c>
      <x:c r="AI18" s="110" t="n">
        <x:f>'10_KPI'!AI10</x:f>
        <x:v>15000</x:v>
      </x:c>
      <x:c r="AJ18" s="110" t="n">
        <x:f>'10_KPI'!AJ10</x:f>
        <x:v>18500</x:v>
      </x:c>
      <x:c r="AK18" s="110" t="n">
        <x:f>'10_KPI'!AK10</x:f>
        <x:v>18500</x:v>
      </x:c>
      <x:c r="AL18" s="110" t="n">
        <x:f>'10_KPI'!AL10</x:f>
        <x:v>11500</x:v>
      </x:c>
      <x:c r="AM18" s="110" t="n">
        <x:f>'10_KPI'!AM10</x:f>
        <x:v>11500</x:v>
      </x:c>
      <x:c r="AN18" s="110" t="n">
        <x:f>'10_KPI'!AN10</x:f>
        <x:v>11500</x:v>
      </x:c>
      <x:c r="AO18" s="110" t="n">
        <x:f>'10_KPI'!AO10</x:f>
        <x:v>11500</x:v>
      </x:c>
      <x:c r="AP18" s="110" t="n">
        <x:f>'10_KPI'!AP10</x:f>
        <x:v>15000</x:v>
      </x:c>
      <x:c r="AQ18" s="110" t="n">
        <x:f>'10_KPI'!AQ10</x:f>
        <x:v>15000</x:v>
      </x:c>
      <x:c r="AR18" s="110" t="n">
        <x:f>'10_KPI'!AR10</x:f>
        <x:v>11500</x:v>
      </x:c>
      <x:c r="AS18" s="110" t="n">
        <x:f>'10_KPI'!AS10</x:f>
        <x:v>11500</x:v>
      </x:c>
      <x:c r="AT18" s="110" t="n">
        <x:f>'10_KPI'!AT10</x:f>
        <x:v>11500</x:v>
      </x:c>
      <x:c r="AU18" s="110" t="n">
        <x:f>'10_KPI'!AU10</x:f>
        <x:v>15000</x:v>
      </x:c>
      <x:c r="AV18" s="110" t="n">
        <x:f>'10_KPI'!AV10</x:f>
        <x:v>18500</x:v>
      </x:c>
      <x:c r="AW18" s="110" t="n">
        <x:f>'10_KPI'!AW10</x:f>
        <x:v>18500</x:v>
      </x:c>
      <x:c r="AX18" s="110" t="n">
        <x:f>'10_KPI'!AX10</x:f>
        <x:v>11500</x:v>
      </x:c>
      <x:c r="AY18" s="110" t="n">
        <x:f>'10_KPI'!AY10</x:f>
        <x:v>11500</x:v>
      </x:c>
      <x:c r="AZ18" s="110" t="n">
        <x:f>'10_KPI'!AZ10</x:f>
        <x:v>11500</x:v>
      </x:c>
      <x:c r="BA18" s="110" t="n">
        <x:f>'10_KPI'!BA10</x:f>
        <x:v>11500</x:v>
      </x:c>
      <x:c r="BB18" s="110" t="n">
        <x:f>'10_KPI'!BB10</x:f>
        <x:v>15000</x:v>
      </x:c>
      <x:c r="BC18" s="110" t="n">
        <x:f>'10_KPI'!BC10</x:f>
        <x:v>15000</x:v>
      </x:c>
      <x:c r="BD18" s="110" t="n">
        <x:f>'10_KPI'!BD10</x:f>
        <x:v>11500</x:v>
      </x:c>
      <x:c r="BE18" s="110" t="n">
        <x:f>'10_KPI'!BE10</x:f>
        <x:v>11500</x:v>
      </x:c>
      <x:c r="BF18" s="110" t="n">
        <x:f>'10_KPI'!BF10</x:f>
        <x:v>11500</x:v>
      </x:c>
      <x:c r="BG18" s="110" t="n">
        <x:f>'10_KPI'!BG10</x:f>
        <x:v>15000</x:v>
      </x:c>
      <x:c r="BH18" s="110" t="n">
        <x:f>'10_KPI'!BH10</x:f>
        <x:v>18500</x:v>
      </x:c>
      <x:c r="BI18" s="110" t="n">
        <x:f>'10_KPI'!BI10</x:f>
        <x:v>18500</x:v>
      </x:c>
      <x:c r="BJ18" s="110" t="n">
        <x:f>'10_KPI'!BJ10</x:f>
        <x:v>11500</x:v>
      </x:c>
    </x:row>
    <x:row r="19">
      <x:c r="A19" t="str">
        <x:v>KPI</x:v>
      </x:c>
      <x:c r="B19" t="str">
        <x:v>RevPAR</x:v>
      </x:c>
      <x:c r="C19" s="110" t="n">
        <x:f>'10_KPI'!C11</x:f>
        <x:v>4370</x:v>
      </x:c>
      <x:c r="D19" s="110" t="n">
        <x:f>'10_KPI'!D11</x:f>
        <x:v>4370</x:v>
      </x:c>
      <x:c r="E19" s="110" t="n">
        <x:f>'10_KPI'!E11</x:f>
        <x:v>4370</x:v>
      </x:c>
      <x:c r="F19" s="110" t="n">
        <x:f>'10_KPI'!F11</x:f>
        <x:v>10200.000000000002</x:v>
      </x:c>
      <x:c r="G19" s="110" t="n">
        <x:f>'10_KPI'!G11</x:f>
        <x:v>10200.000000000002</x:v>
      </x:c>
      <x:c r="H19" s="110" t="n">
        <x:f>'10_KPI'!H11</x:f>
        <x:v>4370</x:v>
      </x:c>
      <x:c r="I19" s="110" t="n">
        <x:f>'10_KPI'!I11</x:f>
        <x:v>4370</x:v>
      </x:c>
      <x:c r="J19" s="110" t="n">
        <x:f>'10_KPI'!J11</x:f>
        <x:v>4370</x:v>
      </x:c>
      <x:c r="K19" s="110" t="n">
        <x:f>'10_KPI'!K11</x:f>
        <x:v>10200.000000000002</x:v>
      </x:c>
      <x:c r="L19" s="110" t="n">
        <x:f>'10_KPI'!L11</x:f>
        <x:v>15170</x:v>
      </x:c>
      <x:c r="M19" s="110" t="n">
        <x:f>'10_KPI'!M11</x:f>
        <x:v>15169.999999999998</x:v>
      </x:c>
      <x:c r="N19" s="110" t="n">
        <x:f>'10_KPI'!N11</x:f>
        <x:v>5750</x:v>
      </x:c>
      <x:c r="O19" s="110" t="n">
        <x:f>'10_KPI'!O11</x:f>
        <x:v>4370</x:v>
      </x:c>
      <x:c r="P19" s="110" t="n">
        <x:f>'10_KPI'!P11</x:f>
        <x:v>4370</x:v>
      </x:c>
      <x:c r="Q19" s="110" t="n">
        <x:f>'10_KPI'!Q11</x:f>
        <x:v>4370</x:v>
      </x:c>
      <x:c r="R19" s="110" t="n">
        <x:f>'10_KPI'!R11</x:f>
        <x:v>10200.000000000002</x:v>
      </x:c>
      <x:c r="S19" s="110" t="n">
        <x:f>'10_KPI'!S11</x:f>
        <x:v>10200.000000000002</x:v>
      </x:c>
      <x:c r="T19" s="110" t="n">
        <x:f>'10_KPI'!T11</x:f>
        <x:v>4370</x:v>
      </x:c>
      <x:c r="U19" s="110" t="n">
        <x:f>'10_KPI'!U11</x:f>
        <x:v>4370</x:v>
      </x:c>
      <x:c r="V19" s="110" t="n">
        <x:f>'10_KPI'!V11</x:f>
        <x:v>4370</x:v>
      </x:c>
      <x:c r="W19" s="110" t="n">
        <x:f>'10_KPI'!W11</x:f>
        <x:v>10200.000000000002</x:v>
      </x:c>
      <x:c r="X19" s="110" t="n">
        <x:f>'10_KPI'!X11</x:f>
        <x:v>15170</x:v>
      </x:c>
      <x:c r="Y19" s="110" t="n">
        <x:f>'10_KPI'!Y11</x:f>
        <x:v>15170</x:v>
      </x:c>
      <x:c r="Z19" s="110" t="n">
        <x:f>'10_KPI'!Z11</x:f>
        <x:v>5750</x:v>
      </x:c>
      <x:c r="AA19" s="110" t="n">
        <x:f>'10_KPI'!AA11</x:f>
        <x:v>4370</x:v>
      </x:c>
      <x:c r="AB19" s="110" t="n">
        <x:f>'10_KPI'!AB11</x:f>
        <x:v>4370</x:v>
      </x:c>
      <x:c r="AC19" s="110" t="n">
        <x:f>'10_KPI'!AC11</x:f>
        <x:v>4370</x:v>
      </x:c>
      <x:c r="AD19" s="110" t="n">
        <x:f>'10_KPI'!AD11</x:f>
        <x:v>10200.000000000002</x:v>
      </x:c>
      <x:c r="AE19" s="110" t="n">
        <x:f>'10_KPI'!AE11</x:f>
        <x:v>10200.000000000002</x:v>
      </x:c>
      <x:c r="AF19" s="110" t="n">
        <x:f>'10_KPI'!AF11</x:f>
        <x:v>4370</x:v>
      </x:c>
      <x:c r="AG19" s="110" t="n">
        <x:f>'10_KPI'!AG11</x:f>
        <x:v>4370</x:v>
      </x:c>
      <x:c r="AH19" s="110" t="n">
        <x:f>'10_KPI'!AH11</x:f>
        <x:v>4370</x:v>
      </x:c>
      <x:c r="AI19" s="110" t="n">
        <x:f>'10_KPI'!AI11</x:f>
        <x:v>10200.000000000002</x:v>
      </x:c>
      <x:c r="AJ19" s="110" t="n">
        <x:f>'10_KPI'!AJ11</x:f>
        <x:v>15170</x:v>
      </x:c>
      <x:c r="AK19" s="110" t="n">
        <x:f>'10_KPI'!AK11</x:f>
        <x:v>15169.999999999998</x:v>
      </x:c>
      <x:c r="AL19" s="110" t="n">
        <x:f>'10_KPI'!AL11</x:f>
        <x:v>5750</x:v>
      </x:c>
      <x:c r="AM19" s="110" t="n">
        <x:f>'10_KPI'!AM11</x:f>
        <x:v>4370</x:v>
      </x:c>
      <x:c r="AN19" s="110" t="n">
        <x:f>'10_KPI'!AN11</x:f>
        <x:v>4370</x:v>
      </x:c>
      <x:c r="AO19" s="110" t="n">
        <x:f>'10_KPI'!AO11</x:f>
        <x:v>4370</x:v>
      </x:c>
      <x:c r="AP19" s="110" t="n">
        <x:f>'10_KPI'!AP11</x:f>
        <x:v>10200.000000000002</x:v>
      </x:c>
      <x:c r="AQ19" s="110" t="n">
        <x:f>'10_KPI'!AQ11</x:f>
        <x:v>10200.000000000002</x:v>
      </x:c>
      <x:c r="AR19" s="110" t="n">
        <x:f>'10_KPI'!AR11</x:f>
        <x:v>4370</x:v>
      </x:c>
      <x:c r="AS19" s="110" t="n">
        <x:f>'10_KPI'!AS11</x:f>
        <x:v>4370</x:v>
      </x:c>
      <x:c r="AT19" s="110" t="n">
        <x:f>'10_KPI'!AT11</x:f>
        <x:v>4370</x:v>
      </x:c>
      <x:c r="AU19" s="110" t="n">
        <x:f>'10_KPI'!AU11</x:f>
        <x:v>10200.000000000002</x:v>
      </x:c>
      <x:c r="AV19" s="110" t="n">
        <x:f>'10_KPI'!AV11</x:f>
        <x:v>15170</x:v>
      </x:c>
      <x:c r="AW19" s="110" t="n">
        <x:f>'10_KPI'!AW11</x:f>
        <x:v>15169.999999999998</x:v>
      </x:c>
      <x:c r="AX19" s="110" t="n">
        <x:f>'10_KPI'!AX11</x:f>
        <x:v>5750</x:v>
      </x:c>
      <x:c r="AY19" s="110" t="n">
        <x:f>'10_KPI'!AY11</x:f>
        <x:v>4370</x:v>
      </x:c>
      <x:c r="AZ19" s="110" t="n">
        <x:f>'10_KPI'!AZ11</x:f>
        <x:v>4370</x:v>
      </x:c>
      <x:c r="BA19" s="110" t="n">
        <x:f>'10_KPI'!BA11</x:f>
        <x:v>4370</x:v>
      </x:c>
      <x:c r="BB19" s="110" t="n">
        <x:f>'10_KPI'!BB11</x:f>
        <x:v>10200.000000000002</x:v>
      </x:c>
      <x:c r="BC19" s="110" t="n">
        <x:f>'10_KPI'!BC11</x:f>
        <x:v>10200.000000000002</x:v>
      </x:c>
      <x:c r="BD19" s="110" t="n">
        <x:f>'10_KPI'!BD11</x:f>
        <x:v>4370</x:v>
      </x:c>
      <x:c r="BE19" s="110" t="n">
        <x:f>'10_KPI'!BE11</x:f>
        <x:v>4370</x:v>
      </x:c>
      <x:c r="BF19" s="110" t="n">
        <x:f>'10_KPI'!BF11</x:f>
        <x:v>4370</x:v>
      </x:c>
      <x:c r="BG19" s="110" t="n">
        <x:f>'10_KPI'!BG11</x:f>
        <x:v>10200.000000000002</x:v>
      </x:c>
      <x:c r="BH19" s="110" t="n">
        <x:f>'10_KPI'!BH11</x:f>
        <x:v>15170</x:v>
      </x:c>
      <x:c r="BI19" s="110" t="n">
        <x:f>'10_KPI'!BI11</x:f>
        <x:v>15169.999999999998</x:v>
      </x:c>
      <x:c r="BJ19" s="110" t="n">
        <x:f>'10_KPI'!BJ11</x:f>
        <x:v>5750</x:v>
      </x:c>
    </x:row>
    <x:row r="20">
      <x:c r="A20" t="str">
        <x:v>KPI</x:v>
      </x:c>
      <x:c r="B20" t="str">
        <x:v>人件費率</x:v>
      </x:c>
      <x:c r="C20" s="112" t="n">
        <x:f>'10_KPI'!C23</x:f>
        <x:v>0.43357822473804647</x:v>
      </x:c>
      <x:c r="D20" s="112" t="n">
        <x:f>'10_KPI'!D23</x:f>
        <x:v>0.4335782247380465</x:v>
      </x:c>
      <x:c r="E20" s="112" t="n">
        <x:f>'10_KPI'!E23</x:f>
        <x:v>0.43357822473804647</x:v>
      </x:c>
      <x:c r="F20" s="112" t="n">
        <x:f>'10_KPI'!F23</x:f>
        <x:v>0.18575851393188852</x:v>
      </x:c>
      <x:c r="G20" s="112" t="n">
        <x:f>'10_KPI'!G23</x:f>
        <x:v>0.18575851393188852</x:v>
      </x:c>
      <x:c r="H20" s="112" t="n">
        <x:f>'10_KPI'!H23</x:f>
        <x:v>0.43357822473804647</x:v>
      </x:c>
      <x:c r="I20" s="112" t="n">
        <x:f>'10_KPI'!I23</x:f>
        <x:v>0.4335782247380465</x:v>
      </x:c>
      <x:c r="J20" s="112" t="n">
        <x:f>'10_KPI'!J23</x:f>
        <x:v>0.43357822473804647</x:v>
      </x:c>
      <x:c r="K20" s="112" t="n">
        <x:f>'10_KPI'!K23</x:f>
        <x:v>0.18575851393188852</x:v>
      </x:c>
      <x:c r="L20" s="112" t="n">
        <x:f>'10_KPI'!L23</x:f>
        <x:v>0.12490025326995803</x:v>
      </x:c>
      <x:c r="M20" s="112" t="n">
        <x:f>'10_KPI'!M23</x:f>
        <x:v>0.12490025326995804</x:v>
      </x:c>
      <x:c r="N20" s="112" t="n">
        <x:f>'10_KPI'!N23</x:f>
        <x:v>0.3295194508009153</x:v>
      </x:c>
      <x:c r="O20" s="112" t="n">
        <x:f>'10_KPI'!O23</x:f>
        <x:v>0.43357822473804647</x:v>
      </x:c>
      <x:c r="P20" s="112" t="n">
        <x:f>'10_KPI'!P23</x:f>
        <x:v>0.4335782247380465</x:v>
      </x:c>
      <x:c r="Q20" s="112" t="n">
        <x:f>'10_KPI'!Q23</x:f>
        <x:v>0.43357822473804647</x:v>
      </x:c>
      <x:c r="R20" s="112" t="n">
        <x:f>'10_KPI'!R23</x:f>
        <x:v>0.18575851393188852</x:v>
      </x:c>
      <x:c r="S20" s="112" t="n">
        <x:f>'10_KPI'!S23</x:f>
        <x:v>0.18575851393188852</x:v>
      </x:c>
      <x:c r="T20" s="112" t="n">
        <x:f>'10_KPI'!T23</x:f>
        <x:v>0.43357822473804647</x:v>
      </x:c>
      <x:c r="U20" s="112" t="n">
        <x:f>'10_KPI'!U23</x:f>
        <x:v>0.4335782247380465</x:v>
      </x:c>
      <x:c r="V20" s="112" t="n">
        <x:f>'10_KPI'!V23</x:f>
        <x:v>0.43357822473804647</x:v>
      </x:c>
      <x:c r="W20" s="112" t="n">
        <x:f>'10_KPI'!W23</x:f>
        <x:v>0.18575851393188852</x:v>
      </x:c>
      <x:c r="X20" s="112" t="n">
        <x:f>'10_KPI'!X23</x:f>
        <x:v>0.12490025326995803</x:v>
      </x:c>
      <x:c r="Y20" s="112" t="n">
        <x:f>'10_KPI'!Y23</x:f>
        <x:v>0.12490025326995802</x:v>
      </x:c>
      <x:c r="Z20" s="112" t="n">
        <x:f>'10_KPI'!Z23</x:f>
        <x:v>0.3295194508009153</x:v>
      </x:c>
      <x:c r="AA20" s="112" t="n">
        <x:f>'10_KPI'!AA23</x:f>
        <x:v>0.43357822473804647</x:v>
      </x:c>
      <x:c r="AB20" s="112" t="n">
        <x:f>'10_KPI'!AB23</x:f>
        <x:v>0.4335782247380465</x:v>
      </x:c>
      <x:c r="AC20" s="112" t="n">
        <x:f>'10_KPI'!AC23</x:f>
        <x:v>0.43357822473804647</x:v>
      </x:c>
      <x:c r="AD20" s="112" t="n">
        <x:f>'10_KPI'!AD23</x:f>
        <x:v>0.18575851393188852</x:v>
      </x:c>
      <x:c r="AE20" s="112" t="n">
        <x:f>'10_KPI'!AE23</x:f>
        <x:v>0.18575851393188852</x:v>
      </x:c>
      <x:c r="AF20" s="112" t="n">
        <x:f>'10_KPI'!AF23</x:f>
        <x:v>0.43357822473804647</x:v>
      </x:c>
      <x:c r="AG20" s="112" t="n">
        <x:f>'10_KPI'!AG23</x:f>
        <x:v>0.4335782247380465</x:v>
      </x:c>
      <x:c r="AH20" s="112" t="n">
        <x:f>'10_KPI'!AH23</x:f>
        <x:v>0.43357822473804647</x:v>
      </x:c>
      <x:c r="AI20" s="112" t="n">
        <x:f>'10_KPI'!AI23</x:f>
        <x:v>0.18575851393188852</x:v>
      </x:c>
      <x:c r="AJ20" s="112" t="n">
        <x:f>'10_KPI'!AJ23</x:f>
        <x:v>0.12490025326995803</x:v>
      </x:c>
      <x:c r="AK20" s="112" t="n">
        <x:f>'10_KPI'!AK23</x:f>
        <x:v>0.12490025326995804</x:v>
      </x:c>
      <x:c r="AL20" s="112" t="n">
        <x:f>'10_KPI'!AL23</x:f>
        <x:v>0.3295194508009153</x:v>
      </x:c>
      <x:c r="AM20" s="112" t="n">
        <x:f>'10_KPI'!AM23</x:f>
        <x:v>0.43357822473804647</x:v>
      </x:c>
      <x:c r="AN20" s="112" t="n">
        <x:f>'10_KPI'!AN23</x:f>
        <x:v>0.4335782247380465</x:v>
      </x:c>
      <x:c r="AO20" s="112" t="n">
        <x:f>'10_KPI'!AO23</x:f>
        <x:v>0.43357822473804647</x:v>
      </x:c>
      <x:c r="AP20" s="112" t="n">
        <x:f>'10_KPI'!AP23</x:f>
        <x:v>0.18575851393188852</x:v>
      </x:c>
      <x:c r="AQ20" s="112" t="n">
        <x:f>'10_KPI'!AQ23</x:f>
        <x:v>0.18575851393188852</x:v>
      </x:c>
      <x:c r="AR20" s="112" t="n">
        <x:f>'10_KPI'!AR23</x:f>
        <x:v>0.43357822473804647</x:v>
      </x:c>
      <x:c r="AS20" s="112" t="n">
        <x:f>'10_KPI'!AS23</x:f>
        <x:v>0.4335782247380465</x:v>
      </x:c>
      <x:c r="AT20" s="112" t="n">
        <x:f>'10_KPI'!AT23</x:f>
        <x:v>0.43357822473804647</x:v>
      </x:c>
      <x:c r="AU20" s="112" t="n">
        <x:f>'10_KPI'!AU23</x:f>
        <x:v>0.18575851393188852</x:v>
      </x:c>
      <x:c r="AV20" s="112" t="n">
        <x:f>'10_KPI'!AV23</x:f>
        <x:v>0.12490025326995803</x:v>
      </x:c>
      <x:c r="AW20" s="112" t="n">
        <x:f>'10_KPI'!AW23</x:f>
        <x:v>0.12490025326995804</x:v>
      </x:c>
      <x:c r="AX20" s="112" t="n">
        <x:f>'10_KPI'!AX23</x:f>
        <x:v>0.3295194508009153</x:v>
      </x:c>
      <x:c r="AY20" s="112" t="n">
        <x:f>'10_KPI'!AY23</x:f>
        <x:v>0.43357822473804647</x:v>
      </x:c>
      <x:c r="AZ20" s="112" t="n">
        <x:f>'10_KPI'!AZ23</x:f>
        <x:v>0.4335782247380465</x:v>
      </x:c>
      <x:c r="BA20" s="112" t="n">
        <x:f>'10_KPI'!BA23</x:f>
        <x:v>0.43357822473804647</x:v>
      </x:c>
      <x:c r="BB20" s="112" t="n">
        <x:f>'10_KPI'!BB23</x:f>
        <x:v>0.18575851393188852</x:v>
      </x:c>
      <x:c r="BC20" s="112" t="n">
        <x:f>'10_KPI'!BC23</x:f>
        <x:v>0.18575851393188852</x:v>
      </x:c>
      <x:c r="BD20" s="112" t="n">
        <x:f>'10_KPI'!BD23</x:f>
        <x:v>0.43357822473804647</x:v>
      </x:c>
      <x:c r="BE20" s="112" t="n">
        <x:f>'10_KPI'!BE23</x:f>
        <x:v>0.4335782247380465</x:v>
      </x:c>
      <x:c r="BF20" s="112" t="n">
        <x:f>'10_KPI'!BF23</x:f>
        <x:v>0.43357822473804647</x:v>
      </x:c>
      <x:c r="BG20" s="112" t="n">
        <x:f>'10_KPI'!BG23</x:f>
        <x:v>0.18575851393188852</x:v>
      </x:c>
      <x:c r="BH20" s="112" t="n">
        <x:f>'10_KPI'!BH23</x:f>
        <x:v>0.12490025326995803</x:v>
      </x:c>
      <x:c r="BI20" s="112" t="n">
        <x:f>'10_KPI'!BI23</x:f>
        <x:v>0.12490025326995804</x:v>
      </x:c>
      <x:c r="BJ20" s="112" t="n">
        <x:f>'10_KPI'!BJ23</x:f>
        <x:v>0.3295194508009153</x:v>
      </x:c>
    </x:row>
    <x:row r="21">
      <x:c r="A21" t="str">
        <x:v>KPI</x:v>
      </x:c>
      <x:c r="B21" t="str">
        <x:v>DSCR</x:v>
      </x:c>
      <x:c r="C21" s="114" t="n">
        <x:f>'10_KPI'!C27</x:f>
        <x:v>1.3920171102661616</x:v>
      </x:c>
      <x:c r="D21" s="114" t="n">
        <x:f>'10_KPI'!D27</x:f>
        <x:v>1.7334747148288936</x:v>
      </x:c>
      <x:c r="E21" s="114" t="n">
        <x:f>'10_KPI'!E27</x:f>
        <x:v>1.3920171102661616</x:v>
      </x:c>
      <x:c r="F21" s="114" t="n">
        <x:f>'10_KPI'!F27</x:f>
        <x:v>47.56293764258557</x:v>
      </x:c>
      <x:c r="G21" s="114" t="n">
        <x:f>'10_KPI'!G27</x:f>
        <x:v>47.56293764258557</x:v>
      </x:c>
      <x:c r="H21" s="114" t="n">
        <x:f>'10_KPI'!H27</x:f>
        <x:v>1.3920171102661616</x:v>
      </x:c>
      <x:c r="I21" s="114" t="n">
        <x:f>'10_KPI'!I27</x:f>
        <x:v>1.7334747148288936</x:v>
      </x:c>
      <x:c r="J21" s="114" t="n">
        <x:f>'10_KPI'!J27</x:f>
        <x:v>1.3920171102661616</x:v>
      </x:c>
      <x:c r="K21" s="114" t="n">
        <x:f>'10_KPI'!K27</x:f>
        <x:v>47.56293764258557</x:v>
      </x:c>
      <x:c r="L21" s="114" t="n">
        <x:f>'10_KPI'!L27</x:f>
        <x:v>88.21838269961977</x:v>
      </x:c>
      <x:c r="M21" s="114" t="n">
        <x:f>'10_KPI'!M27</x:f>
        <x:v>78.82450266159694</x:v>
      </x:c>
      <x:c r="N21" s="114" t="n">
        <x:f>'10_KPI'!N27</x:f>
        <x:v>11.910185361216731</x:v>
      </x:c>
      <x:c r="O21" s="114" t="n">
        <x:f>'10_KPI'!O27</x:f>
        <x:v>1.3920171102661616</x:v>
      </x:c>
      <x:c r="P21" s="114" t="n">
        <x:f>'10_KPI'!P27</x:f>
        <x:v>1.7334747148288936</x:v>
      </x:c>
      <x:c r="Q21" s="114" t="n">
        <x:f>'10_KPI'!Q27</x:f>
        <x:v>1.3920171102661616</x:v>
      </x:c>
      <x:c r="R21" s="114" t="n">
        <x:f>'10_KPI'!R27</x:f>
        <x:v>47.56293764258557</x:v>
      </x:c>
      <x:c r="S21" s="114" t="n">
        <x:f>'10_KPI'!S27</x:f>
        <x:v>47.56293764258557</x:v>
      </x:c>
      <x:c r="T21" s="114" t="n">
        <x:f>'10_KPI'!T27</x:f>
        <x:v>1.3920171102661616</x:v>
      </x:c>
      <x:c r="U21" s="114" t="n">
        <x:f>'10_KPI'!U27</x:f>
        <x:v>1.7334747148288936</x:v>
      </x:c>
      <x:c r="V21" s="114" t="n">
        <x:f>'10_KPI'!V27</x:f>
        <x:v>1.3920171102661616</x:v>
      </x:c>
      <x:c r="W21" s="114" t="n">
        <x:f>'10_KPI'!W27</x:f>
        <x:v>47.56293764258557</x:v>
      </x:c>
      <x:c r="X21" s="114" t="n">
        <x:f>'10_KPI'!X27</x:f>
        <x:v>88.21838269961977</x:v>
      </x:c>
      <x:c r="Y21" s="114" t="n">
        <x:f>'10_KPI'!Y27</x:f>
        <x:v>81.95579600760455</x:v>
      </x:c>
      <x:c r="Z21" s="114" t="n">
        <x:f>'10_KPI'!Z27</x:f>
        <x:v>11.910185361216731</x:v>
      </x:c>
      <x:c r="AA21" s="114" t="n">
        <x:f>'10_KPI'!AA27</x:f>
        <x:v>1.3920171102661616</x:v>
      </x:c>
      <x:c r="AB21" s="114" t="n">
        <x:f>'10_KPI'!AB27</x:f>
        <x:v>1.7334747148288936</x:v>
      </x:c>
      <x:c r="AC21" s="114" t="n">
        <x:f>'10_KPI'!AC27</x:f>
        <x:v>1.3920171102661616</x:v>
      </x:c>
      <x:c r="AD21" s="114" t="n">
        <x:f>'10_KPI'!AD27</x:f>
        <x:v>47.56293764258557</x:v>
      </x:c>
      <x:c r="AE21" s="114" t="n">
        <x:f>'10_KPI'!AE27</x:f>
        <x:v>47.56293764258557</x:v>
      </x:c>
      <x:c r="AF21" s="114" t="n">
        <x:f>'10_KPI'!AF27</x:f>
        <x:v>1.3920171102661616</x:v>
      </x:c>
      <x:c r="AG21" s="114" t="n">
        <x:f>'10_KPI'!AG27</x:f>
        <x:v>1.7334747148288936</x:v>
      </x:c>
      <x:c r="AH21" s="114" t="n">
        <x:f>'10_KPI'!AH27</x:f>
        <x:v>1.3920171102661616</x:v>
      </x:c>
      <x:c r="AI21" s="114" t="n">
        <x:f>'10_KPI'!AI27</x:f>
        <x:v>47.56293764258557</x:v>
      </x:c>
      <x:c r="AJ21" s="114" t="n">
        <x:f>'10_KPI'!AJ27</x:f>
        <x:v>88.21838269961977</x:v>
      </x:c>
      <x:c r="AK21" s="114" t="n">
        <x:f>'10_KPI'!AK27</x:f>
        <x:v>78.82450266159694</x:v>
      </x:c>
      <x:c r="AL21" s="114" t="n">
        <x:f>'10_KPI'!AL27</x:f>
        <x:v>11.910185361216731</x:v>
      </x:c>
      <x:c r="AM21" s="114" t="n">
        <x:f>'10_KPI'!AM27</x:f>
        <x:v>1.3920171102661616</x:v>
      </x:c>
      <x:c r="AN21" s="114" t="n">
        <x:f>'10_KPI'!AN27</x:f>
        <x:v>1.7334747148288936</x:v>
      </x:c>
      <x:c r="AO21" s="114" t="n">
        <x:f>'10_KPI'!AO27</x:f>
        <x:v>1.3920171102661616</x:v>
      </x:c>
      <x:c r="AP21" s="114" t="n">
        <x:f>'10_KPI'!AP27</x:f>
        <x:v>47.56293764258557</x:v>
      </x:c>
      <x:c r="AQ21" s="114" t="n">
        <x:f>'10_KPI'!AQ27</x:f>
        <x:v>47.56293764258557</x:v>
      </x:c>
      <x:c r="AR21" s="114" t="n">
        <x:f>'10_KPI'!AR27</x:f>
        <x:v>1.3920171102661616</x:v>
      </x:c>
      <x:c r="AS21" s="114" t="n">
        <x:f>'10_KPI'!AS27</x:f>
        <x:v>1.7334747148288936</x:v>
      </x:c>
      <x:c r="AT21" s="114" t="n">
        <x:f>'10_KPI'!AT27</x:f>
        <x:v>1.3920171102661616</x:v>
      </x:c>
      <x:c r="AU21" s="114" t="n">
        <x:f>'10_KPI'!AU27</x:f>
        <x:v>47.56293764258557</x:v>
      </x:c>
      <x:c r="AV21" s="114" t="n">
        <x:f>'10_KPI'!AV27</x:f>
        <x:v>88.21838269961977</x:v>
      </x:c>
      <x:c r="AW21" s="114" t="n">
        <x:f>'10_KPI'!AW27</x:f>
        <x:v>78.82450266159694</x:v>
      </x:c>
      <x:c r="AX21" s="114" t="n">
        <x:f>'10_KPI'!AX27</x:f>
        <x:v>11.910185361216731</x:v>
      </x:c>
      <x:c r="AY21" s="114" t="n">
        <x:f>'10_KPI'!AY27</x:f>
        <x:v>1.3920171102661616</x:v>
      </x:c>
      <x:c r="AZ21" s="114" t="n">
        <x:f>'10_KPI'!AZ27</x:f>
        <x:v>1.7334747148288936</x:v>
      </x:c>
      <x:c r="BA21" s="114" t="n">
        <x:f>'10_KPI'!BA27</x:f>
        <x:v>1.3920171102661616</x:v>
      </x:c>
      <x:c r="BB21" s="114" t="n">
        <x:f>'10_KPI'!BB27</x:f>
        <x:v>47.56293764258557</x:v>
      </x:c>
      <x:c r="BC21" s="114" t="n">
        <x:f>'10_KPI'!BC27</x:f>
        <x:v>47.56293764258557</x:v>
      </x:c>
      <x:c r="BD21" s="114" t="n">
        <x:f>'10_KPI'!BD27</x:f>
        <x:v>1.3920171102661616</x:v>
      </x:c>
      <x:c r="BE21" s="114" t="n">
        <x:f>'10_KPI'!BE27</x:f>
        <x:v>1.7334747148288936</x:v>
      </x:c>
      <x:c r="BF21" s="114" t="n">
        <x:f>'10_KPI'!BF27</x:f>
        <x:v>1.3920171102661616</x:v>
      </x:c>
      <x:c r="BG21" s="114" t="n">
        <x:f>'10_KPI'!BG27</x:f>
        <x:v>47.56293764258557</x:v>
      </x:c>
      <x:c r="BH21" s="114" t="n">
        <x:f>'10_KPI'!BH27</x:f>
        <x:v>88.21838269961977</x:v>
      </x:c>
      <x:c r="BI21" s="114" t="n">
        <x:f>'10_KPI'!BI27</x:f>
        <x:v>78.82450266159694</x:v>
      </x:c>
      <x:c r="BJ21" s="114" t="n">
        <x:f>'10_KPI'!BJ27</x:f>
        <x:v>11.910185361216731</x:v>
      </x:c>
    </x:row>
  </x:sheetData>
  <x:mergeCells>
    <x:mergeCell ref="A1:BJ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</x:cols>
  <x:sheetData>
    <x:row r="1">
      <x:c r="A1" s="5" t="str">
        <x:v>勘定科目マスタ｜Yuge標準科目</x:v>
      </x:c>
    </x:row>
    <x:row r="4">
      <x:c r="A4" s="32" t="str">
        <x:v>科目コード</x:v>
      </x:c>
      <x:c r="B4" s="32" t="str">
        <x:v>区分</x:v>
      </x:c>
      <x:c r="C4" s="32" t="str">
        <x:v>勘定科目</x:v>
      </x:c>
      <x:c r="D4" s="32" t="str">
        <x:v>PL/BS/CF分類</x:v>
      </x:c>
      <x:c r="E4" s="32" t="str">
        <x:v>借貸</x:v>
      </x:c>
      <x:c r="F4" s="32" t="str">
        <x:v>入力ページ対応</x:v>
      </x:c>
      <x:c r="G4" s="32" t="str">
        <x:v>銀行摘要キーワード</x:v>
      </x:c>
      <x:c r="H4" s="32" t="str">
        <x:v>備考</x:v>
      </x:c>
    </x:row>
    <x:row r="5">
      <x:c r="A5" s="106" t="str">
        <x:v>1000</x:v>
      </x:c>
      <x:c r="B5" s="106" t="str">
        <x:v>BS資産</x:v>
      </x:c>
      <x:c r="C5" s="106" t="str">
        <x:v>現預金</x:v>
      </x:c>
      <x:c r="D5" s="106" t="str">
        <x:v>現預金</x:v>
      </x:c>
      <x:c r="E5" s="106" t="str">
        <x:v>借方</x:v>
      </x:c>
      <x:c r="F5" s="106" t="str">
        <x:v>BS実績残高_任意</x:v>
      </x:c>
      <x:c r="G5" s="106" t="str">
        <x:v>振込 入金 出金</x:v>
      </x:c>
      <x:c r="H5" s="106" t="str">
        <x:v>銀行API連携</x:v>
      </x:c>
    </x:row>
    <x:row r="6">
      <x:c r="A6" s="106" t="str">
        <x:v>1100</x:v>
      </x:c>
      <x:c r="B6" s="106" t="str">
        <x:v>BS資産</x:v>
      </x:c>
      <x:c r="C6" s="106" t="str">
        <x:v>売掛金</x:v>
      </x:c>
      <x:c r="D6" s="106" t="str">
        <x:v>売掛金</x:v>
      </x:c>
      <x:c r="E6" s="106" t="str">
        <x:v>借方</x:v>
      </x:c>
      <x:c r="F6" s="106" t="str">
        <x:v>BS実績残高_任意</x:v>
      </x:c>
      <x:c r="G6" s="106" t="str">
        <x:v>OTA 楽天 Booking じゃらん</x:v>
      </x:c>
      <x:c r="H6" s="106" t="str">
        <x:v>売上債権</x:v>
      </x:c>
    </x:row>
    <x:row r="7">
      <x:c r="A7" s="106" t="str">
        <x:v>1200</x:v>
      </x:c>
      <x:c r="B7" s="106" t="str">
        <x:v>BS資産</x:v>
      </x:c>
      <x:c r="C7" s="106" t="str">
        <x:v>その他流動資産</x:v>
      </x:c>
      <x:c r="D7" s="106" t="str">
        <x:v>その他流動資産</x:v>
      </x:c>
      <x:c r="E7" s="106" t="str">
        <x:v>借方</x:v>
      </x:c>
      <x:c r="F7" s="106" t="str">
        <x:v>BS実績残高_任意</x:v>
      </x:c>
      <x:c r="G7" s="106" t="str"/>
      <x:c r="H7" s="106" t="str"/>
    </x:row>
    <x:row r="8">
      <x:c r="A8" s="106" t="str">
        <x:v>1500</x:v>
      </x:c>
      <x:c r="B8" s="106" t="str">
        <x:v>BS資産</x:v>
      </x:c>
      <x:c r="C8" s="106" t="str">
        <x:v>有形固定資産</x:v>
      </x:c>
      <x:c r="D8" s="106" t="str">
        <x:v>固定資産</x:v>
      </x:c>
      <x:c r="E8" s="106" t="str">
        <x:v>借方</x:v>
      </x:c>
      <x:c r="F8" s="106" t="str">
        <x:v>BS実績残高_任意</x:v>
      </x:c>
      <x:c r="G8" s="106" t="str">
        <x:v>設備 工事 備品</x:v>
      </x:c>
      <x:c r="H8" s="106" t="str"/>
    </x:row>
    <x:row r="9">
      <x:c r="A9" s="106" t="str">
        <x:v>2000</x:v>
      </x:c>
      <x:c r="B9" s="106" t="str">
        <x:v>BS負債</x:v>
      </x:c>
      <x:c r="C9" s="106" t="str">
        <x:v>買掛金・未払金</x:v>
      </x:c>
      <x:c r="D9" s="106" t="str">
        <x:v>未払金</x:v>
      </x:c>
      <x:c r="E9" s="106" t="str">
        <x:v>貸方</x:v>
      </x:c>
      <x:c r="F9" s="106" t="str">
        <x:v>BS実績残高_任意</x:v>
      </x:c>
      <x:c r="G9" s="106" t="str">
        <x:v>請求 支払 未払</x:v>
      </x:c>
      <x:c r="H9" s="106" t="str"/>
    </x:row>
    <x:row r="10">
      <x:c r="A10" s="106" t="str">
        <x:v>2200</x:v>
      </x:c>
      <x:c r="B10" s="106" t="str">
        <x:v>BS負債</x:v>
      </x:c>
      <x:c r="C10" s="106" t="str">
        <x:v>借入金</x:v>
      </x:c>
      <x:c r="D10" s="106" t="str">
        <x:v>借入</x:v>
      </x:c>
      <x:c r="E10" s="106" t="str">
        <x:v>貸方</x:v>
      </x:c>
      <x:c r="F10" s="106" t="str">
        <x:v>借入返済</x:v>
      </x:c>
      <x:c r="G10" s="106" t="str">
        <x:v>借入 返済 利息</x:v>
      </x:c>
      <x:c r="H10" s="106" t="str"/>
    </x:row>
    <x:row r="11">
      <x:c r="A11" s="106" t="str">
        <x:v>2500</x:v>
      </x:c>
      <x:c r="B11" s="106" t="str">
        <x:v>BS負債</x:v>
      </x:c>
      <x:c r="C11" s="106" t="str">
        <x:v>その他負債</x:v>
      </x:c>
      <x:c r="D11" s="106" t="str">
        <x:v>その他負債</x:v>
      </x:c>
      <x:c r="E11" s="106" t="str">
        <x:v>貸方</x:v>
      </x:c>
      <x:c r="F11" s="106" t="str">
        <x:v>BS実績残高_任意</x:v>
      </x:c>
      <x:c r="G11" s="106" t="str"/>
      <x:c r="H11" s="106" t="str"/>
    </x:row>
    <x:row r="12">
      <x:c r="A12" s="106" t="str">
        <x:v>3000</x:v>
      </x:c>
      <x:c r="B12" s="106" t="str">
        <x:v>純資産</x:v>
      </x:c>
      <x:c r="C12" s="106" t="str">
        <x:v>資本金・資本剰余金</x:v>
      </x:c>
      <x:c r="D12" s="106" t="str">
        <x:v>純資産</x:v>
      </x:c>
      <x:c r="E12" s="106" t="str">
        <x:v>貸方</x:v>
      </x:c>
      <x:c r="F12" s="106" t="str"/>
      <x:c r="G12" s="106" t="str"/>
      <x:c r="H12" s="106" t="str"/>
    </x:row>
    <x:row r="13">
      <x:c r="A13" s="106" t="str">
        <x:v>3100</x:v>
      </x:c>
      <x:c r="B13" s="106" t="str">
        <x:v>純資産</x:v>
      </x:c>
      <x:c r="C13" s="106" t="str">
        <x:v>利益剰余金</x:v>
      </x:c>
      <x:c r="D13" s="106" t="str">
        <x:v>純資産</x:v>
      </x:c>
      <x:c r="E13" s="106" t="str">
        <x:v>貸方</x:v>
      </x:c>
      <x:c r="F13" s="106" t="str"/>
      <x:c r="G13" s="106" t="str"/>
      <x:c r="H13" s="106" t="str"/>
    </x:row>
    <x:row r="14">
      <x:c r="A14" s="106" t="str">
        <x:v>4000</x:v>
      </x:c>
      <x:c r="B14" s="106" t="str">
        <x:v>売上</x:v>
      </x:c>
      <x:c r="C14" s="106" t="str">
        <x:v>宿泊売上</x:v>
      </x:c>
      <x:c r="D14" s="106" t="str">
        <x:v>売上高</x:v>
      </x:c>
      <x:c r="E14" s="106" t="str">
        <x:v>貸方</x:v>
      </x:c>
      <x:c r="F14" s="106" t="str">
        <x:v>稼働・売上</x:v>
      </x:c>
      <x:c r="G14" s="106" t="str">
        <x:v>楽天 Booking じゃらん Beds24</x:v>
      </x:c>
      <x:c r="H14" s="106" t="str"/>
    </x:row>
    <x:row r="15">
      <x:c r="A15" s="106" t="str">
        <x:v>4100</x:v>
      </x:c>
      <x:c r="B15" s="106" t="str">
        <x:v>売上</x:v>
      </x:c>
      <x:c r="C15" s="106" t="str">
        <x:v>その他売上</x:v>
      </x:c>
      <x:c r="D15" s="106" t="str">
        <x:v>売上高</x:v>
      </x:c>
      <x:c r="E15" s="106" t="str">
        <x:v>貸方</x:v>
      </x:c>
      <x:c r="F15" s="106" t="str">
        <x:v>稼働・売上</x:v>
      </x:c>
      <x:c r="G15" s="106" t="str"/>
      <x:c r="H15" s="106" t="str"/>
    </x:row>
    <x:row r="16">
      <x:c r="A16" s="106" t="str">
        <x:v>5100</x:v>
      </x:c>
      <x:c r="B16" s="106" t="str">
        <x:v>費用</x:v>
      </x:c>
      <x:c r="C16" s="106" t="str">
        <x:v>OTA手数料</x:v>
      </x:c>
      <x:c r="D16" s="106" t="str">
        <x:v>変動費</x:v>
      </x:c>
      <x:c r="E16" s="106" t="str">
        <x:v>借方</x:v>
      </x:c>
      <x:c r="F16" s="106" t="str">
        <x:v>変動費</x:v>
      </x:c>
      <x:c r="G16" s="106" t="str">
        <x:v>手数料 OTA</x:v>
      </x:c>
      <x:c r="H16" s="106" t="str"/>
    </x:row>
    <x:row r="17">
      <x:c r="A17" s="106" t="str">
        <x:v>5200</x:v>
      </x:c>
      <x:c r="B17" s="106" t="str">
        <x:v>費用</x:v>
      </x:c>
      <x:c r="C17" s="106" t="str">
        <x:v>リネン費</x:v>
      </x:c>
      <x:c r="D17" s="106" t="str">
        <x:v>変動費</x:v>
      </x:c>
      <x:c r="E17" s="106" t="str">
        <x:v>借方</x:v>
      </x:c>
      <x:c r="F17" s="106" t="str">
        <x:v>変動費</x:v>
      </x:c>
      <x:c r="G17" s="106" t="str">
        <x:v>リネン クリーニング</x:v>
      </x:c>
      <x:c r="H17" s="106" t="str"/>
    </x:row>
    <x:row r="18">
      <x:c r="A18" s="106" t="str">
        <x:v>5300</x:v>
      </x:c>
      <x:c r="B18" s="106" t="str">
        <x:v>費用</x:v>
      </x:c>
      <x:c r="C18" s="106" t="str">
        <x:v>水道光熱費</x:v>
      </x:c>
      <x:c r="D18" s="106" t="str">
        <x:v>変動費</x:v>
      </x:c>
      <x:c r="E18" s="106" t="str">
        <x:v>借方</x:v>
      </x:c>
      <x:c r="F18" s="106" t="str">
        <x:v>変動費</x:v>
      </x:c>
      <x:c r="G18" s="106" t="str">
        <x:v>電気 ガス 水道</x:v>
      </x:c>
      <x:c r="H18" s="106" t="str"/>
    </x:row>
    <x:row r="19">
      <x:c r="A19" s="106" t="str">
        <x:v>5400</x:v>
      </x:c>
      <x:c r="B19" s="106" t="str">
        <x:v>費用</x:v>
      </x:c>
      <x:c r="C19" s="106" t="str">
        <x:v>消耗品費</x:v>
      </x:c>
      <x:c r="D19" s="106" t="str">
        <x:v>変動費</x:v>
      </x:c>
      <x:c r="E19" s="106" t="str">
        <x:v>借方</x:v>
      </x:c>
      <x:c r="F19" s="106" t="str">
        <x:v>変動費</x:v>
      </x:c>
      <x:c r="G19" s="106" t="str">
        <x:v>消耗品 アメニティ</x:v>
      </x:c>
      <x:c r="H19" s="106" t="str"/>
    </x:row>
    <x:row r="20">
      <x:c r="A20" s="106" t="str">
        <x:v>5500</x:v>
      </x:c>
      <x:c r="B20" s="106" t="str">
        <x:v>費用</x:v>
      </x:c>
      <x:c r="C20" s="106" t="str">
        <x:v>修繕費</x:v>
      </x:c>
      <x:c r="D20" s="106" t="str">
        <x:v>変動費</x:v>
      </x:c>
      <x:c r="E20" s="106" t="str">
        <x:v>借方</x:v>
      </x:c>
      <x:c r="F20" s="106" t="str">
        <x:v>変動費</x:v>
      </x:c>
      <x:c r="G20" s="106" t="str">
        <x:v>修理 修繕</x:v>
      </x:c>
      <x:c r="H20" s="106" t="str"/>
    </x:row>
    <x:row r="21">
      <x:c r="A21" s="106" t="str">
        <x:v>5600</x:v>
      </x:c>
      <x:c r="B21" s="106" t="str">
        <x:v>費用</x:v>
      </x:c>
      <x:c r="C21" s="106" t="str">
        <x:v>人件費</x:v>
      </x:c>
      <x:c r="D21" s="106" t="str">
        <x:v>人件費</x:v>
      </x:c>
      <x:c r="E21" s="106" t="str">
        <x:v>借方</x:v>
      </x:c>
      <x:c r="F21" s="106" t="str">
        <x:v>人件費</x:v>
      </x:c>
      <x:c r="G21" s="106" t="str">
        <x:v>給与 給料 アルバイト</x:v>
      </x:c>
      <x:c r="H21" s="106" t="str"/>
    </x:row>
    <x:row r="22">
      <x:c r="A22" s="106" t="str">
        <x:v>5700</x:v>
      </x:c>
      <x:c r="B22" s="106" t="str">
        <x:v>費用</x:v>
      </x:c>
      <x:c r="C22" s="106" t="str">
        <x:v>固定費</x:v>
      </x:c>
      <x:c r="D22" s="106" t="str">
        <x:v>固定費</x:v>
      </x:c>
      <x:c r="E22" s="106" t="str">
        <x:v>借方</x:v>
      </x:c>
      <x:c r="F22" s="106" t="str">
        <x:v>固定費</x:v>
      </x:c>
      <x:c r="G22" s="106" t="str">
        <x:v>家賃 通信 保険</x:v>
      </x:c>
      <x:c r="H22" s="106" t="str"/>
    </x:row>
    <x:row r="23">
      <x:c r="A23" s="106" t="str">
        <x:v>5800</x:v>
      </x:c>
      <x:c r="B23" s="106" t="str">
        <x:v>費用</x:v>
      </x:c>
      <x:c r="C23" s="106" t="str">
        <x:v>MCコスト</x:v>
      </x:c>
      <x:c r="D23" s="106" t="str">
        <x:v>MC</x:v>
      </x:c>
      <x:c r="E23" s="106" t="str">
        <x:v>借方</x:v>
      </x:c>
      <x:c r="F23" s="106" t="str">
        <x:v>MCコスト</x:v>
      </x:c>
      <x:c r="G23" s="106" t="str">
        <x:v>MC 業務委託</x:v>
      </x:c>
      <x:c r="H23" s="106" t="str"/>
    </x:row>
    <x:row r="24">
      <x:c r="A24" s="106" t="str">
        <x:v>5900</x:v>
      </x:c>
      <x:c r="B24" s="106" t="str">
        <x:v>費用</x:v>
      </x:c>
      <x:c r="C24" s="106" t="str">
        <x:v>減価償却費</x:v>
      </x:c>
      <x:c r="D24" s="106" t="str">
        <x:v>D&amp;A</x:v>
      </x:c>
      <x:c r="E24" s="106" t="str">
        <x:v>借方</x:v>
      </x:c>
      <x:c r="F24" s="106" t="str">
        <x:v>PL追加入力</x:v>
      </x:c>
      <x:c r="G24" s="106" t="str">
        <x:v>減価償却</x:v>
      </x:c>
      <x:c r="H24" s="106" t="str"/>
    </x:row>
    <x:row r="25">
      <x:c r="A25" s="106" t="str">
        <x:v>6100</x:v>
      </x:c>
      <x:c r="B25" s="106" t="str">
        <x:v>営業外</x:v>
      </x:c>
      <x:c r="C25" s="106" t="str">
        <x:v>支払利息</x:v>
      </x:c>
      <x:c r="D25" s="106" t="str">
        <x:v>営業外費用</x:v>
      </x:c>
      <x:c r="E25" s="106" t="str">
        <x:v>借方</x:v>
      </x:c>
      <x:c r="F25" s="106" t="str">
        <x:v>借入返済</x:v>
      </x:c>
      <x:c r="G25" s="106" t="str">
        <x:v>利息</x:v>
      </x:c>
      <x:c r="H25" s="106" t="str"/>
    </x:row>
    <x:row r="26">
      <x:c r="A26" s="106" t="str">
        <x:v>7000</x:v>
      </x:c>
      <x:c r="B26" s="106" t="str">
        <x:v>税金</x:v>
      </x:c>
      <x:c r="C26" s="106" t="str">
        <x:v>法人税等</x:v>
      </x:c>
      <x:c r="D26" s="106" t="str">
        <x:v>税金</x:v>
      </x:c>
      <x:c r="E26" s="106" t="str">
        <x:v>借方</x:v>
      </x:c>
      <x:c r="F26" s="106" t="str">
        <x:v>PL追加入力</x:v>
      </x:c>
      <x:c r="G26" s="106" t="str">
        <x:v>法人税 消費税</x:v>
      </x:c>
      <x:c r="H26" s="106" t="str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</x:cols>
  <x:sheetData>
    <x:row r="1">
      <x:c r="A1" s="5" t="str">
        <x:v>チェック｜3表整合性・入力漏れ・未分類明細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8" t="str">
        <x:v>チェック項目</x:v>
      </x:c>
      <x:c r="B4" s="8" t="str">
        <x:v>対象</x:v>
      </x:c>
      <x:c r="C4" s="8" t="str">
        <x:v>判定式/値</x:v>
      </x:c>
      <x:c r="D4" s="8" t="str">
        <x:v>許容値</x:v>
      </x:c>
      <x:c r="E4" s="8" t="str">
        <x:v>ステータス</x:v>
      </x:c>
      <x:c r="F4" s="8" t="str">
        <x:v>対応方針</x:v>
      </x:c>
      <x:c r="G4" s="8" t="str">
        <x:v>備考</x:v>
      </x:c>
      <x:c r="H4" s="8" t="str">
        <x:v>リンク</x:v>
      </x:c>
    </x:row>
    <x:row r="5">
      <x:c r="A5" s="2" t="str">
        <x:v>BSバランス合計</x:v>
      </x:c>
      <x:c r="B5" s="2" t="str">
        <x:v>全期間</x:v>
      </x:c>
      <x:c r="C5" s="36" t="n">
        <x:f>SUM('07_BS'!C19:BJ19)</x:f>
        <x:v>1.1641532182693481e-10</x:v>
      </x:c>
      <x:c r="D5" s="36" t="n">
        <x:v>1</x:v>
      </x:c>
      <x:c r="E5" s="2" t="str">
        <x:f>IF(ABS(C5)&lt;=D5,"OK","要確認")</x:f>
        <x:v>OK</x:v>
      </x:c>
      <x:c r="F5" s="2" t="str">
        <x:v>BS実績残高または純資産初期値を確認</x:v>
      </x:c>
      <x:c r="G5" s="2" t="str"/>
      <x:c r="H5" s="2" t="str">
        <x:v>07_BS</x:v>
      </x:c>
    </x:row>
    <x:row r="6">
      <x:c r="A6" s="2" t="str">
        <x:v>借入ロールフォワード</x:v>
      </x:c>
      <x:c r="B6" s="2" t="str">
        <x:v>全期間</x:v>
      </x:c>
      <x:c r="C6" s="36" t="n">
        <x:f>SUM('09_借入返済'!C13:BJ13)</x:f>
        <x:v>0</x:v>
      </x:c>
      <x:c r="D6" s="36" t="n">
        <x:v>0</x:v>
      </x:c>
      <x:c r="E6" s="2" t="str">
        <x:f>IF(ABS(C6)&lt;=D6,"OK","要確認")</x:f>
        <x:v>OK</x:v>
      </x:c>
      <x:c r="F6" s="2" t="str">
        <x:v>借入返済シートを確認</x:v>
      </x:c>
      <x:c r="G6" s="2" t="str"/>
      <x:c r="H6" s="2" t="str">
        <x:v>09_借入返済</x:v>
      </x:c>
    </x:row>
    <x:row r="7">
      <x:c r="A7" s="2" t="str">
        <x:v>CF現預金一致</x:v>
      </x:c>
      <x:c r="B7" s="2" t="str">
        <x:v>最終月</x:v>
      </x:c>
      <x:c r="C7" s="36" t="n">
        <x:f>'08_CF'!BJ21-'07_BS'!BJ6</x:f>
        <x:v>0</x:v>
      </x:c>
      <x:c r="D7" s="36" t="n">
        <x:v>1</x:v>
      </x:c>
      <x:c r="E7" s="2" t="str">
        <x:f>IF(ABS(C7)&lt;=D7,"OK","要確認")</x:f>
        <x:v>OK</x:v>
      </x:c>
      <x:c r="F7" s="2" t="str">
        <x:v>CFとBS現預金を確認</x:v>
      </x:c>
      <x:c r="G7" s="2" t="str"/>
      <x:c r="H7" s="2" t="str">
        <x:v>08_CF/07_BS</x:v>
      </x:c>
    </x:row>
    <x:row r="8">
      <x:c r="A8" s="2" t="str">
        <x:v>未分類銀行明細</x:v>
      </x:c>
      <x:c r="B8" s="2" t="str">
        <x:v>銀行API</x:v>
      </x:c>
      <x:c r="C8" s="36" t="n">
        <x:f>COUNTA('02_銀行API取込'!A7:A506)-COUNTIF('02_銀行API取込'!H7:H506,"分類済")</x:f>
        <x:v>0</x:v>
      </x:c>
      <x:c r="D8" s="36" t="n">
        <x:v>0</x:v>
      </x:c>
      <x:c r="E8" s="2" t="str">
        <x:f>IF(C8&lt;=D8,"OK","要分類")</x:f>
        <x:v>OK</x:v>
      </x:c>
      <x:c r="F8" s="2" t="str">
        <x:v>分類状況を「分類済」に更新</x:v>
      </x:c>
      <x:c r="G8" s="2" t="str"/>
      <x:c r="H8" s="2" t="str">
        <x:v>02_銀行API取込</x:v>
      </x:c>
    </x:row>
    <x:row r="9">
      <x:c r="A9" s="2" t="str">
        <x:v>仕訳貸借差額</x:v>
      </x:c>
      <x:c r="B9" s="2" t="str">
        <x:v>仕訳帳</x:v>
      </x:c>
      <x:c r="C9" s="36" t="n">
        <x:f>SUM('04_仕訳帳'!G7:G506)-SUM('04_仕訳帳'!J7:J506)</x:f>
        <x:v>0</x:v>
      </x:c>
      <x:c r="D9" s="36" t="n">
        <x:v>0</x:v>
      </x:c>
      <x:c r="E9" s="2" t="str">
        <x:f>IF(ABS(C9)&lt;=D9,"OK","要確認")</x:f>
        <x:v>OK</x:v>
      </x:c>
      <x:c r="F9" s="2" t="str">
        <x:v>借方・貸方金額を確認</x:v>
      </x:c>
      <x:c r="G9" s="2" t="str"/>
      <x:c r="H9" s="2" t="str">
        <x:v>04_仕訳帳</x:v>
      </x:c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0" hidden="0" customWidth="1"/>
  </x:cols>
  <x:sheetData>
    <x:row r="1">
      <x:c r="A1" s="5" t="str">
        <x:v>使い方｜喜らく統合3表モデル</x:v>
      </x:c>
    </x:row>
    <x:row r="4">
      <x:c r="A4" s="32" t="str">
        <x:v>Step</x:v>
      </x:c>
      <x:c r="B4" s="32" t="str">
        <x:v>作業</x:v>
      </x:c>
      <x:c r="C4" s="32" t="str">
        <x:v>対象シート</x:v>
      </x:c>
      <x:c r="D4" s="32" t="str">
        <x:v>内容</x:v>
      </x:c>
    </x:row>
    <x:row r="5">
      <x:c r="A5" s="117" t="str">
        <x:v>1</x:v>
      </x:c>
      <x:c r="B5" s="117" t="str">
        <x:v>月次実績入力</x:v>
      </x:c>
      <x:c r="C5" s="117" t="str">
        <x:v>01_入力ページ</x:v>
      </x:c>
      <x:c r="D5" s="117" t="str">
        <x:v>黄色セル・青字に実績値を入力。売上・人件費・変動費・固定費・BS実績残高を更新。</x:v>
      </x:c>
    </x:row>
    <x:row r="6">
      <x:c r="A6" s="117" t="str">
        <x:v>2</x:v>
      </x:c>
      <x:c r="B6" s="117" t="str">
        <x:v>銀行明細取込</x:v>
      </x:c>
      <x:c r="C6" s="117" t="str">
        <x:v>02_銀行API取込</x:v>
      </x:c>
      <x:c r="D6" s="117" t="str">
        <x:v>銀行API/CSVを貼付。未分類明細を分類し、必要に応じて仕訳帳へ転記。</x:v>
      </x:c>
    </x:row>
    <x:row r="7">
      <x:c r="A7" s="117" t="str">
        <x:v>3</x:v>
      </x:c>
      <x:c r="B7" s="117" t="str">
        <x:v>OTA/PMS取込</x:v>
      </x:c>
      <x:c r="C7" s="117" t="str">
        <x:v>03_OTA取込</x:v>
      </x:c>
      <x:c r="D7" s="117" t="str">
        <x:v>楽天・Booking・じゃらん・Beds24の明細を格納。ADR・販売室数・売上との整合確認に使う。</x:v>
      </x:c>
    </x:row>
    <x:row r="8">
      <x:c r="A8" s="117" t="str">
        <x:v>4</x:v>
      </x:c>
      <x:c r="B8" s="117" t="str">
        <x:v>仕訳帳更新</x:v>
      </x:c>
      <x:c r="C8" s="117" t="str">
        <x:v>04_仕訳帳</x:v>
      </x:c>
      <x:c r="D8" s="117" t="str">
        <x:v>会計事務所提出用。借方・貸方を入力すると試算表に集計。</x:v>
      </x:c>
    </x:row>
    <x:row r="9">
      <x:c r="A9" s="117" t="str">
        <x:v>5</x:v>
      </x:c>
      <x:c r="B9" s="117" t="str">
        <x:v>3表確認</x:v>
      </x:c>
      <x:c r="C9" s="117" t="str">
        <x:v>06_PL / 07_BS / 08_CF</x:v>
      </x:c>
      <x:c r="D9" s="117" t="str">
        <x:v>入力ページから月次PL・BS・CFが自動連動。</x:v>
      </x:c>
    </x:row>
    <x:row r="10">
      <x:c r="A10" s="117" t="str">
        <x:v>6</x:v>
      </x:c>
      <x:c r="B10" s="117" t="str">
        <x:v>銀行提出用確認</x:v>
      </x:c>
      <x:c r="C10" s="117" t="str">
        <x:v>00_ダッシュボード / 11_モデル連携</x:v>
      </x:c>
      <x:c r="D10" s="117" t="str">
        <x:v>主要KPIと銀行提出モデルへの転記値を確認。</x:v>
      </x:c>
    </x:row>
    <x:row r="11">
      <x:c r="A11" s="117" t="str">
        <x:v>7</x:v>
      </x:c>
      <x:c r="B11" s="117" t="str">
        <x:v>エラー確認</x:v>
      </x:c>
      <x:c r="C11" s="117" t="str">
        <x:v>13_チェック</x:v>
      </x:c>
      <x:c r="D11" s="117" t="str">
        <x:v>BS不一致・借入不一致・CF不一致・未分類明細を確認。</x:v>
      </x:c>
    </x:row>
  </x:sheetData>
  <x:mergeCells>
    <x:mergeCell ref="A1:H1"/>
  </x:mergeCells>
  <x:pageMargins left="0.7" right="0.7" top="0.75" bottom="0.75" header="0.3" footer="0.3"/>
</x:worksheet>
</file>